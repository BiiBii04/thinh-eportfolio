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d0db2b193e6147e6/Máy tính/My Workspace/Digital Economy Projects/Assignment3_Capstone/working-docs/"/>
    </mc:Choice>
  </mc:AlternateContent>
  <xr:revisionPtr revIDLastSave="2" documentId="11_64BD91E215ABB6B4E1D328B3485ED87656CDAC10" xr6:coauthVersionLast="47" xr6:coauthVersionMax="47" xr10:uidLastSave="{4E7FDE0C-1152-453B-B042-52A0AD6B060B}"/>
  <bookViews>
    <workbookView xWindow="-98" yWindow="-98" windowWidth="21795" windowHeight="12975" xr2:uid="{00000000-000D-0000-FFFF-FFFF00000000}"/>
  </bookViews>
  <sheets>
    <sheet name="Appendix 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9" i="1" l="1"/>
  <c r="D179" i="1"/>
  <c r="C179" i="1"/>
  <c r="B179" i="1"/>
  <c r="E178" i="1"/>
  <c r="D178" i="1"/>
  <c r="C178" i="1"/>
  <c r="B178" i="1"/>
  <c r="E177" i="1"/>
  <c r="D177" i="1"/>
  <c r="C177" i="1"/>
  <c r="B177" i="1"/>
  <c r="E176" i="1"/>
  <c r="D176" i="1"/>
  <c r="C176" i="1"/>
  <c r="B176" i="1"/>
  <c r="E175" i="1"/>
  <c r="D175" i="1"/>
  <c r="C175" i="1"/>
  <c r="B175" i="1"/>
  <c r="E167" i="1"/>
  <c r="D167" i="1"/>
  <c r="C167" i="1"/>
  <c r="B167" i="1"/>
  <c r="E166" i="1"/>
  <c r="D166" i="1"/>
  <c r="C166" i="1"/>
  <c r="B166" i="1"/>
  <c r="E165" i="1"/>
  <c r="D165" i="1"/>
  <c r="C165" i="1"/>
  <c r="B165" i="1"/>
  <c r="E164" i="1"/>
  <c r="D164" i="1"/>
  <c r="C164" i="1"/>
  <c r="B164" i="1"/>
  <c r="E163" i="1"/>
  <c r="D163" i="1"/>
  <c r="C163" i="1"/>
  <c r="B163" i="1"/>
  <c r="F156" i="1"/>
  <c r="D156" i="1"/>
  <c r="B156" i="1"/>
  <c r="E156" i="1" s="1"/>
  <c r="F155" i="1"/>
  <c r="E155" i="1"/>
  <c r="B155" i="1"/>
  <c r="C155" i="1" s="1"/>
  <c r="B154" i="1"/>
  <c r="F154" i="1" s="1"/>
  <c r="F153" i="1"/>
  <c r="E153" i="1"/>
  <c r="C153" i="1"/>
  <c r="B153" i="1"/>
  <c r="D153" i="1" s="1"/>
  <c r="F152" i="1"/>
  <c r="E152" i="1"/>
  <c r="D152" i="1"/>
  <c r="B152" i="1"/>
  <c r="C152" i="1" s="1"/>
  <c r="B151" i="1"/>
  <c r="E151" i="1" s="1"/>
  <c r="D121" i="1"/>
  <c r="D129" i="1" s="1"/>
  <c r="D120" i="1"/>
  <c r="C120" i="1"/>
  <c r="B120" i="1"/>
  <c r="D119" i="1"/>
  <c r="C119" i="1"/>
  <c r="B119" i="1"/>
  <c r="D118" i="1"/>
  <c r="C118" i="1"/>
  <c r="B118" i="1"/>
  <c r="D117" i="1"/>
  <c r="C117" i="1"/>
  <c r="B117" i="1"/>
  <c r="B121" i="1" s="1"/>
  <c r="B129" i="1" s="1"/>
  <c r="D116" i="1"/>
  <c r="C116" i="1"/>
  <c r="B116" i="1"/>
  <c r="D115" i="1"/>
  <c r="C115" i="1"/>
  <c r="B115" i="1"/>
  <c r="D114" i="1"/>
  <c r="C114" i="1"/>
  <c r="C121" i="1" s="1"/>
  <c r="C129" i="1" s="1"/>
  <c r="B114" i="1"/>
  <c r="E105" i="1"/>
  <c r="D105" i="1"/>
  <c r="C105" i="1"/>
  <c r="D97" i="1"/>
  <c r="E104" i="1" s="1"/>
  <c r="E106" i="1" s="1"/>
  <c r="C97" i="1"/>
  <c r="D104" i="1" s="1"/>
  <c r="D106" i="1" s="1"/>
  <c r="B97" i="1"/>
  <c r="C104" i="1" s="1"/>
  <c r="C106" i="1" s="1"/>
  <c r="C79" i="1"/>
  <c r="B79" i="1"/>
  <c r="C78" i="1"/>
  <c r="B78" i="1"/>
  <c r="D65" i="1"/>
  <c r="C65" i="1"/>
  <c r="B65" i="1"/>
  <c r="D63" i="1"/>
  <c r="C63" i="1"/>
  <c r="B63" i="1"/>
  <c r="D62" i="1"/>
  <c r="C62" i="1"/>
  <c r="B62" i="1"/>
  <c r="D61" i="1"/>
  <c r="C61" i="1"/>
  <c r="B61" i="1"/>
  <c r="D60" i="1"/>
  <c r="D64" i="1" s="1"/>
  <c r="D66" i="1" s="1"/>
  <c r="C60" i="1"/>
  <c r="C64" i="1" s="1"/>
  <c r="C66" i="1" s="1"/>
  <c r="C77" i="1" s="1"/>
  <c r="B60" i="1"/>
  <c r="D68" i="1" s="1"/>
  <c r="D59" i="1"/>
  <c r="B58" i="1"/>
  <c r="D57" i="1"/>
  <c r="C57" i="1"/>
  <c r="B57" i="1"/>
  <c r="D50" i="1"/>
  <c r="D48" i="1"/>
  <c r="C48" i="1"/>
  <c r="B48" i="1"/>
  <c r="C49" i="1" s="1"/>
  <c r="B47" i="1"/>
  <c r="D46" i="1"/>
  <c r="C46" i="1"/>
  <c r="B46" i="1"/>
  <c r="D107" i="1" l="1"/>
  <c r="C128" i="1"/>
  <c r="C130" i="1" s="1"/>
  <c r="B139" i="1" s="1"/>
  <c r="C107" i="1"/>
  <c r="B128" i="1"/>
  <c r="B130" i="1" s="1"/>
  <c r="E107" i="1"/>
  <c r="D128" i="1"/>
  <c r="D130" i="1" s="1"/>
  <c r="B140" i="1" s="1"/>
  <c r="B68" i="1"/>
  <c r="F151" i="1"/>
  <c r="D49" i="1"/>
  <c r="D155" i="1"/>
  <c r="B64" i="1"/>
  <c r="B66" i="1" s="1"/>
  <c r="B77" i="1" s="1"/>
  <c r="C156" i="1"/>
  <c r="C151" i="1"/>
  <c r="D154" i="1"/>
  <c r="D151" i="1"/>
  <c r="E154" i="1"/>
  <c r="C154" i="1"/>
  <c r="B49" i="1"/>
  <c r="C68" i="1"/>
  <c r="C69" i="1" s="1"/>
  <c r="C76" i="1" s="1"/>
  <c r="C80" i="1" s="1"/>
  <c r="B131" i="1" l="1"/>
  <c r="C131" i="1" s="1"/>
  <c r="D131" i="1" s="1"/>
  <c r="B138" i="1"/>
  <c r="C138" i="1" s="1"/>
  <c r="C139" i="1" s="1"/>
  <c r="C140" i="1" s="1"/>
  <c r="D69" i="1"/>
  <c r="B69" i="1"/>
  <c r="B76" i="1" s="1"/>
  <c r="D67" i="1"/>
  <c r="B80" i="1" l="1"/>
  <c r="D78" i="1" l="1"/>
  <c r="D77" i="1"/>
  <c r="D76" i="1"/>
  <c r="D80" i="1" s="1"/>
</calcChain>
</file>

<file path=xl/sharedStrings.xml><?xml version="1.0" encoding="utf-8"?>
<sst xmlns="http://schemas.openxmlformats.org/spreadsheetml/2006/main" count="244" uniqueCount="223">
  <si>
    <t>Appendix A — Pilot Economics</t>
  </si>
  <si>
    <t>Quantitative backing for the business model (Section 5.3) and MVE adoption target (Section 6.1) of the main report. All revenue and cost figures are unaudited management estimates for sandbox pilot planning; they are not forecasts.</t>
  </si>
  <si>
    <t>Assumptions</t>
  </si>
  <si>
    <t>Variable</t>
  </si>
  <si>
    <t>Value</t>
  </si>
  <si>
    <t>Source / rationale</t>
  </si>
  <si>
    <t>Invoice face value (VND)</t>
  </si>
  <si>
    <t>Mr. Thang Ngo composite supplier persona (Appendix B1.1)</t>
  </si>
  <si>
    <t>Tenor (days)</t>
  </si>
  <si>
    <t>Typical SCF tenor for Vietnamese tier-2/3 anchor invoices</t>
  </si>
  <si>
    <t>FX reference rate (VND per USD)</t>
  </si>
  <si>
    <t>State Bank of Vietnam reference rate, mid-2026</t>
  </si>
  <si>
    <t>Informal rate (% per month)</t>
  </si>
  <si>
    <t>Archer et al. (2020) Vietnamese SME informal credit market</t>
  </si>
  <si>
    <t>Bank discount rate (% per annum)</t>
  </si>
  <si>
    <t>SBV system-average lending band 7.1-9.4% plus tier-2/3 risk premium (VNBA 2026c)</t>
  </si>
  <si>
    <t>Bank cost of fund (% per annum)</t>
  </si>
  <si>
    <t>SBV 6-12 month VND deposit range 5.3-6.8% Q1 2026 (VNBA 2026c)</t>
  </si>
  <si>
    <t>Bank risk provision (% of face)</t>
  </si>
  <si>
    <t>Bank credit policy assumption for unsecured tier-2/3 SME exposure</t>
  </si>
  <si>
    <t>Bank ops cost (% of face)</t>
  </si>
  <si>
    <t>Bank salesforce and processing overhead</t>
  </si>
  <si>
    <t>Protocol take rate Y1 (basis points)</t>
  </si>
  <si>
    <t>Solomon (2015) 'rules and rails' tier (0-20 bps range)</t>
  </si>
  <si>
    <t>Protocol take rate Y2 (basis points, midpoint)</t>
  </si>
  <si>
    <t>Solomon (2015) 'rules and rails' tier midpoint as consortium thickens</t>
  </si>
  <si>
    <t>Protocol take rate Y3+ (basis points)</t>
  </si>
  <si>
    <t>Solomon (2015) 'rules and rails' tier upper bound at scale</t>
  </si>
  <si>
    <t>Subscription Y1 per bank (USD)</t>
  </si>
  <si>
    <t>B2B SaaS entry-tier benchmark for new-bank onboarding</t>
  </si>
  <si>
    <t>Subscription Y2 per bank (USD)</t>
  </si>
  <si>
    <t>B2B SaaS expansion-tier benchmark as consortium grows</t>
  </si>
  <si>
    <t>Subscription Y3+ per bank (USD)</t>
  </si>
  <si>
    <t>B2B SaaS mature-tier benchmark at scale</t>
  </si>
  <si>
    <t>Average portfolio deal size (USD)</t>
  </si>
  <si>
    <t>Weighted average across tier-3 (VND 200M) and tier-1 anchor invoices</t>
  </si>
  <si>
    <t>Annual cost components (USD)</t>
  </si>
  <si>
    <t>Smart contract audit Y1</t>
  </si>
  <si>
    <t>One-time mid-range USD 80-120K</t>
  </si>
  <si>
    <t>Smart contract audit Y2+ (monitoring retainer)</t>
  </si>
  <si>
    <t>Recurring monitoring after Y1 one-time</t>
  </si>
  <si>
    <t>Besu node hosting (4 validators) Y1-Y2</t>
  </si>
  <si>
    <t>Self-hosted AWS</t>
  </si>
  <si>
    <t>Besu node hosting Y3+ (with ramp)</t>
  </si>
  <si>
    <t>Additional validator nodes</t>
  </si>
  <si>
    <t>Chainlink Functions calls Y1</t>
  </si>
  <si>
    <t>Scales with deal count</t>
  </si>
  <si>
    <t>Chainlink Functions calls Y2</t>
  </si>
  <si>
    <t>Chainlink Functions calls Y3</t>
  </si>
  <si>
    <t>Smart contract maintenance Y1-Y2</t>
  </si>
  <si>
    <t>Recurring development work</t>
  </si>
  <si>
    <t>Smart contract maintenance Y3</t>
  </si>
  <si>
    <t>Mild ramp</t>
  </si>
  <si>
    <t>Integration support engineer Y1-Y2 (2 x 50%)</t>
  </si>
  <si>
    <t>Critical for bank integration</t>
  </si>
  <si>
    <t>Integration support engineer Y3</t>
  </si>
  <si>
    <t>Mild headcount ramp</t>
  </si>
  <si>
    <t>Compliance and legal Y1-Y2</t>
  </si>
  <si>
    <t>SBV liaison plus regulatory reporting</t>
  </si>
  <si>
    <t>Compliance and legal Y3</t>
  </si>
  <si>
    <t>Operations Y1-Y2</t>
  </si>
  <si>
    <t>Governance, vendor management, consortium secretariat</t>
  </si>
  <si>
    <t>Operations Y3</t>
  </si>
  <si>
    <t>Note: cells highlighted in yellow are model inputs. All calculated cells in subsequent sections reference this Assumptions block through formulas. Adjusting an input value recalculates the entire workbook automatically.</t>
  </si>
  <si>
    <t>A1. Per-deal economics: Mr. Thang Ngo VND 200 million invoice</t>
  </si>
  <si>
    <t>A1.1 Trad SCF baseline (no protocol, supplier uses informal financing)</t>
  </si>
  <si>
    <t>Line item</t>
  </si>
  <si>
    <t>VND</t>
  </si>
  <si>
    <t>USD</t>
  </si>
  <si>
    <t>% of face</t>
  </si>
  <si>
    <t>Source / formula</t>
  </si>
  <si>
    <t>Invoice face value</t>
  </si>
  <si>
    <t>Mr. Thang Ngo reference deal</t>
  </si>
  <si>
    <t>Typical Vietnam SCF deal</t>
  </si>
  <si>
    <t>Informal financing cost (rate x tenor x face)</t>
  </si>
  <si>
    <t>Monthly informal rate x tenor in months x face value (Archer et al. 2020)</t>
  </si>
  <si>
    <t>Net cash to supplier on day 1</t>
  </si>
  <si>
    <t>Face value minus informal cost</t>
  </si>
  <si>
    <t>Effective annualised cost to supplier</t>
  </si>
  <si>
    <t>Monthly informal rate x 12 months</t>
  </si>
  <si>
    <t>Supplier shoulders the full informal financing cost. Bank captures none of this deal. Tier-3 access to factoring is blocked by the identity verification gap and double-pledge risk that the protocol later closes.</t>
  </si>
  <si>
    <t>A1.2 Protocol-enabled path</t>
  </si>
  <si>
    <t>Bank discount rate to supplier (% p.a.)</t>
  </si>
  <si>
    <t>SBV system-average lending band plus tier-2/3 risk premium</t>
  </si>
  <si>
    <t>Bank gross interest income</t>
  </si>
  <si>
    <t>face x annual rate x tenor/365</t>
  </si>
  <si>
    <t>Less: bank cost of fund</t>
  </si>
  <si>
    <t>face x annual fund cost x tenor/365</t>
  </si>
  <si>
    <t>Less: bank risk provision</t>
  </si>
  <si>
    <t>Bank credit policy</t>
  </si>
  <si>
    <t>Less: bank ops cost</t>
  </si>
  <si>
    <t>Salesforce and processing</t>
  </si>
  <si>
    <t>Bank gross margin before protocol fee</t>
  </si>
  <si>
    <t>Sum of bank rows above</t>
  </si>
  <si>
    <t>Protocol take rate (Y1 bps of face)</t>
  </si>
  <si>
    <t>Solomon (2015) 'rules and rails' Y1 pricing</t>
  </si>
  <si>
    <t>Bank net margin after protocol fee</t>
  </si>
  <si>
    <t>Bank kept margin</t>
  </si>
  <si>
    <t>Protocol fee as % of bank gross margin</t>
  </si>
  <si>
    <t>Protocol take rate divided by bank gross margin</t>
  </si>
  <si>
    <t>Net cash to supplier on day 1 (protocol)</t>
  </si>
  <si>
    <t>Face value minus bank discount</t>
  </si>
  <si>
    <t>Supplier saving vs informal baseline</t>
  </si>
  <si>
    <t>Protocol net cash minus informal net cash</t>
  </si>
  <si>
    <t>The bank still earns a positive net margin after paying the protocol fee. The supplier captures meaningful value transfer relative to informal financing, which is the headline economic case for tier-3 inclusion.</t>
  </si>
  <si>
    <t>A1.3 Distribution of value created on a single deal</t>
  </si>
  <si>
    <t>Stakeholder</t>
  </si>
  <si>
    <t>Value captured (VND)</t>
  </si>
  <si>
    <t>Value captured (USD)</t>
  </si>
  <si>
    <t>Share of total economic surplus</t>
  </si>
  <si>
    <t>Supplier (Mr. Thang Ngo)</t>
  </si>
  <si>
    <t>Bank net margin</t>
  </si>
  <si>
    <t>Protocol operator</t>
  </si>
  <si>
    <t>Risk provision and ops (bank reserves)</t>
  </si>
  <si>
    <t>Reserve, not surplus</t>
  </si>
  <si>
    <t>Total economic surplus released</t>
  </si>
  <si>
    <t>Most of the value lands with the supplier. The protocol takes the smallest slice. This is the standard FMI economic argument: thin operator margin justified by network-wide value release.</t>
  </si>
  <si>
    <t>A2. Annual profit and loss, three scenarios</t>
  </si>
  <si>
    <t>A2.1 Volume and participant assumptions</t>
  </si>
  <si>
    <t>Parameter</t>
  </si>
  <si>
    <t>Y1 Conservative</t>
  </si>
  <si>
    <t>Y2 Base</t>
  </si>
  <si>
    <t>Y3 Optimistic</t>
  </si>
  <si>
    <t>Calendar year</t>
  </si>
  <si>
    <t>Stage</t>
  </si>
  <si>
    <t>Sandbox pilot</t>
  </si>
  <si>
    <t>Post-pilot expansion</t>
  </si>
  <si>
    <t>Scale beyond sandbox</t>
  </si>
  <si>
    <t>Participating banks</t>
  </si>
  <si>
    <t>Anchor buyers</t>
  </si>
  <si>
    <t>Active suppliers (midpoint)</t>
  </si>
  <si>
    <t>Total deals per year</t>
  </si>
  <si>
    <t>Average deal size (USD)</t>
  </si>
  <si>
    <t>Total facilitated volume (USD)</t>
  </si>
  <si>
    <t>Volume ramp from Y1 to Y2 is roughly 4x deal count plus 20% deal size growth. This is below the TReDS India Year 1 to Year 2 ramp of 7x because Vietnam has no mandate equivalent (M1xchange 2023).</t>
  </si>
  <si>
    <t>A2.2 Revenue lines</t>
  </si>
  <si>
    <t>Revenue line</t>
  </si>
  <si>
    <t>Formula</t>
  </si>
  <si>
    <t>Take rate revenue</t>
  </si>
  <si>
    <t>Volume x take rate</t>
  </si>
  <si>
    <t>Subscription revenue</t>
  </si>
  <si>
    <t>Banks x subscription tier</t>
  </si>
  <si>
    <t>Total revenue</t>
  </si>
  <si>
    <t>Take + subscription</t>
  </si>
  <si>
    <t>Revenue per facilitated USD</t>
  </si>
  <si>
    <t>Total revenue divided by volume</t>
  </si>
  <si>
    <t>Take rate revenue is symbolic in Y1 and material from Y2 onward. Subscription is the revenue floor. Combined revenue per facilitated USD falls as volume scales, which is expected for an FMI cost-recovery model.</t>
  </si>
  <si>
    <t>A2.3 Cost lines</t>
  </si>
  <si>
    <t>Cost line</t>
  </si>
  <si>
    <t>Smart contract audit</t>
  </si>
  <si>
    <t>Besu node hosting</t>
  </si>
  <si>
    <t>Chainlink Functions calls</t>
  </si>
  <si>
    <t>Smart contract maintenance</t>
  </si>
  <si>
    <t>Integration support engineer</t>
  </si>
  <si>
    <t>Compliance and legal</t>
  </si>
  <si>
    <t>Operations</t>
  </si>
  <si>
    <t>Total cost</t>
  </si>
  <si>
    <t>Year 1 cost is dominated by the one-time audit (USD 100K mid-range). Year 2+ cost stabilises around USD 135-150K. Year 3 includes mild headcount and infrastructure ramp.</t>
  </si>
  <si>
    <t>A2.4 Net result and break-even</t>
  </si>
  <si>
    <t>Line</t>
  </si>
  <si>
    <t>Net</t>
  </si>
  <si>
    <t>Cumulative net (running total)</t>
  </si>
  <si>
    <t>Year 1 loss is the funding gap the stakeholder ask must cover (VIFC sandbox grant plus seed capital plus IFC advisory). Year 2 is slim break-even. Year 3 reaches positive cumulative position.</t>
  </si>
  <si>
    <t>A2.5 Funding gap and stakeholder ask cross-reference</t>
  </si>
  <si>
    <t>Year</t>
  </si>
  <si>
    <t>Loss to cover</t>
  </si>
  <si>
    <t>Cumulative funding required</t>
  </si>
  <si>
    <t>Primary source</t>
  </si>
  <si>
    <t>Y1</t>
  </si>
  <si>
    <t>VIFC sandbox grant plus IFC advisory plus seed</t>
  </si>
  <si>
    <t>Y2</t>
  </si>
  <si>
    <t>Self-funding from revenue</t>
  </si>
  <si>
    <t>Y3</t>
  </si>
  <si>
    <t>Self-funding</t>
  </si>
  <si>
    <t>A funding stack of roughly USD 200K across Year 1 closes the entire pilot economic gap. This is the concrete number that anchors the funding ask in Section 6.3 of the main report.</t>
  </si>
  <si>
    <t>A3. Sensitivity analysis</t>
  </si>
  <si>
    <t>A3.1 Take rate revenue matrix: deal volume x take rate (USD)</t>
  </si>
  <si>
    <t>Assumes average deal size USD 100K. Cells show take rate revenue (USD).</t>
  </si>
  <si>
    <t>Deals per year</t>
  </si>
  <si>
    <t>Volume (USD)</t>
  </si>
  <si>
    <t>8 bps</t>
  </si>
  <si>
    <t>12 bps</t>
  </si>
  <si>
    <t>15 bps</t>
  </si>
  <si>
    <t>20 bps</t>
  </si>
  <si>
    <t>At the 12 bps Y1 rate, around 500 deals per year (USD 50M facilitated volume) is needed before take rate alone contributes USD 60K. Below that, subscription carries the revenue model.</t>
  </si>
  <si>
    <t>A3.2 Subscription revenue matrix: bank count x tier (USD)</t>
  </si>
  <si>
    <t>USD 10K tier</t>
  </si>
  <si>
    <t>USD 15K tier</t>
  </si>
  <si>
    <t>USD 25K tier</t>
  </si>
  <si>
    <t>USD 35K tier</t>
  </si>
  <si>
    <t>At the Y2 USD 25K tier, the protocol reaches USD 135K ongoing cost coverage once 5 banks pay subscription, before any take rate. This is the critical adoption threshold.</t>
  </si>
  <si>
    <t>A3.3 Combined break-even surface (USD)</t>
  </si>
  <si>
    <t>Total revenue = subscription + take rate at 12 bps. Y2+ ongoing cost line is USD 135K.</t>
  </si>
  <si>
    <t>Deals per year (volume)</t>
  </si>
  <si>
    <t>2 banks @ USD 15K</t>
  </si>
  <si>
    <t>3 banks @ USD 20K</t>
  </si>
  <si>
    <t>5 banks @ USD 25K</t>
  </si>
  <si>
    <t>7 banks @ USD 30K</t>
  </si>
  <si>
    <t>50 deals (USD 5,000,000)</t>
  </si>
  <si>
    <t>100 deals (USD 10,000,000)</t>
  </si>
  <si>
    <t>200 deals (USD 20,000,000)</t>
  </si>
  <si>
    <t>500 deals (USD 50,000,000)</t>
  </si>
  <si>
    <t>1,000 deals (USD 100,000,000)</t>
  </si>
  <si>
    <t>Break-even crosses at 5 banks paying USD 25K combined with 50 or more deals per year. This matches the Y2 Base scenario in A2.</t>
  </si>
  <si>
    <t>A3.4 Single-variable shock tests on Y2 Base</t>
  </si>
  <si>
    <t>Stress scenarios on top of Y2 Base (5 banks, 200 deals, USD 24M volume, 14 bps blended take rate).</t>
  </si>
  <si>
    <t>Scenario</t>
  </si>
  <si>
    <t>Trigger</t>
  </si>
  <si>
    <t>Revenue impact</t>
  </si>
  <si>
    <t>Net Y2 result</t>
  </si>
  <si>
    <t>Take rate compression</t>
  </si>
  <si>
    <t>Regulator caps at 8 bps</t>
  </si>
  <si>
    <t>Take rate USD 33,600 to USD 19,200</t>
  </si>
  <si>
    <t>USD 158,600 to USD 144,200 (slight loss USD 2.8K vs cost USD 147K)</t>
  </si>
  <si>
    <t>Bank attrition</t>
  </si>
  <si>
    <t>1 of 5 banks drops out</t>
  </si>
  <si>
    <t>Subscription USD 125K to USD 100K</t>
  </si>
  <si>
    <t>USD 158,600 to USD 133,600 (slight loss USD 13K)</t>
  </si>
  <si>
    <t>Audit cost overrun</t>
  </si>
  <si>
    <t>Y1 audit USD 100K becomes USD 180K</t>
  </si>
  <si>
    <t>Y1 loss USD 192K to USD 272K</t>
  </si>
  <si>
    <t>Funding stack must expand USD 200K to USD 280K</t>
  </si>
  <si>
    <t>The model is most sensitive to bank attrition. Losing one of five paying banks drops the protocol back into loss territory. This is the operational risk the single-bank Phase 2 strategy manages: build commitment depth with HDBank before broadening, per the we.trade and Marco Polo lessons (Tapprest 2023; Wragg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</si>
</sst>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Red]\(0.0%\)"/>
    <numFmt numFmtId="165" formatCode="0.00%;[Red]\(0.00%\)"/>
    <numFmt numFmtId="166" formatCode="\$#,##0;[Red]\(\$#,##0\)"/>
    <numFmt numFmtId="167" formatCode="#,##0;[Red]\(#,##0\)"/>
  </numFmts>
  <fonts count="7" x14ac:knownFonts="1">
    <font>
      <sz val="11"/>
      <color theme="1"/>
      <name val="Calibri"/>
      <family val="2"/>
      <scheme val="minor"/>
    </font>
    <font>
      <b/>
      <sz val="16"/>
      <color rgb="FF1F3864"/>
      <name val="Calibri"/>
    </font>
    <font>
      <i/>
      <sz val="10"/>
      <color rgb="FF595959"/>
      <name val="Calibri"/>
    </font>
    <font>
      <b/>
      <sz val="13"/>
      <color rgb="FFFFFFFF"/>
      <name val="Calibri"/>
    </font>
    <font>
      <b/>
      <sz val="10"/>
      <color rgb="FFFFFFFF"/>
      <name val="Calibri"/>
    </font>
    <font>
      <b/>
      <sz val="11"/>
      <name val="Calibri"/>
    </font>
    <font>
      <b/>
      <sz val="12"/>
      <color rgb="FF305496"/>
      <name val="Calibri"/>
    </font>
  </fonts>
  <fills count="8">
    <fill>
      <patternFill patternType="none"/>
    </fill>
    <fill>
      <patternFill patternType="gray125"/>
    </fill>
    <fill>
      <patternFill patternType="solid">
        <fgColor rgb="FF305496"/>
      </patternFill>
    </fill>
    <fill>
      <patternFill patternType="solid">
        <fgColor rgb="FF5B9BD5"/>
      </patternFill>
    </fill>
    <fill>
      <patternFill patternType="solid">
        <fgColor rgb="FFFFF2CC"/>
      </patternFill>
    </fill>
    <fill>
      <patternFill patternType="solid">
        <fgColor rgb="FFD9E1F2"/>
      </patternFill>
    </fill>
    <fill>
      <patternFill patternType="solid">
        <fgColor rgb="FFBDD7EE"/>
      </patternFill>
    </fill>
    <fill>
      <patternFill patternType="solid">
        <fgColor rgb="FFE2EFDA"/>
      </patternFill>
    </fill>
  </fills>
  <borders count="6">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style="thin">
        <color rgb="FF999999"/>
      </bottom>
      <diagonal/>
    </border>
    <border>
      <left/>
      <right/>
      <top/>
      <bottom style="thin">
        <color rgb="FF999999"/>
      </bottom>
      <diagonal/>
    </border>
  </borders>
  <cellStyleXfs count="1">
    <xf numFmtId="0" fontId="0" fillId="0" borderId="0"/>
  </cellStyleXfs>
  <cellXfs count="39">
    <xf numFmtId="0" fontId="0" fillId="0" borderId="0" xfId="0"/>
    <xf numFmtId="0" fontId="4" fillId="3" borderId="1" xfId="0" applyFont="1" applyFill="1" applyBorder="1" applyAlignment="1">
      <alignment horizontal="center" vertical="center"/>
    </xf>
    <xf numFmtId="0" fontId="0" fillId="0" borderId="1" xfId="0" applyBorder="1"/>
    <xf numFmtId="3" fontId="0" fillId="4" borderId="1" xfId="0" applyNumberFormat="1" applyFill="1" applyBorder="1" applyAlignment="1">
      <alignment horizontal="right" vertical="center"/>
    </xf>
    <xf numFmtId="0" fontId="0" fillId="0" borderId="1" xfId="0" applyBorder="1" applyAlignment="1">
      <alignment horizontal="left" vertical="top" wrapText="1" indent="1"/>
    </xf>
    <xf numFmtId="164" fontId="0" fillId="4" borderId="1" xfId="0" applyNumberFormat="1" applyFill="1" applyBorder="1" applyAlignment="1">
      <alignment horizontal="right" vertical="center"/>
    </xf>
    <xf numFmtId="165" fontId="0" fillId="4" borderId="1" xfId="0" applyNumberFormat="1" applyFill="1" applyBorder="1" applyAlignment="1">
      <alignment horizontal="right" vertical="center"/>
    </xf>
    <xf numFmtId="166" fontId="0" fillId="4" borderId="1" xfId="0" applyNumberFormat="1" applyFill="1" applyBorder="1" applyAlignment="1">
      <alignment horizontal="right" vertical="center"/>
    </xf>
    <xf numFmtId="167" fontId="0" fillId="0" borderId="1" xfId="0" applyNumberFormat="1" applyBorder="1" applyAlignment="1">
      <alignment horizontal="right" vertical="center"/>
    </xf>
    <xf numFmtId="166" fontId="0" fillId="0" borderId="1" xfId="0" applyNumberFormat="1" applyBorder="1" applyAlignment="1">
      <alignment horizontal="right" vertical="center"/>
    </xf>
    <xf numFmtId="165" fontId="0" fillId="0" borderId="1" xfId="0" applyNumberFormat="1" applyBorder="1" applyAlignment="1">
      <alignment horizontal="right" vertical="center"/>
    </xf>
    <xf numFmtId="3" fontId="0" fillId="0" borderId="1" xfId="0" applyNumberFormat="1" applyBorder="1" applyAlignment="1">
      <alignment horizontal="right" vertical="center"/>
    </xf>
    <xf numFmtId="0" fontId="5" fillId="6" borderId="1" xfId="0" applyFont="1" applyFill="1" applyBorder="1"/>
    <xf numFmtId="167" fontId="5" fillId="6" borderId="1" xfId="0" applyNumberFormat="1" applyFont="1" applyFill="1" applyBorder="1" applyAlignment="1">
      <alignment horizontal="right" vertical="center"/>
    </xf>
    <xf numFmtId="166" fontId="5" fillId="6" borderId="1" xfId="0" applyNumberFormat="1" applyFont="1" applyFill="1" applyBorder="1" applyAlignment="1">
      <alignment horizontal="right" vertical="center"/>
    </xf>
    <xf numFmtId="165" fontId="5" fillId="6" borderId="1" xfId="0" applyNumberFormat="1" applyFont="1" applyFill="1" applyBorder="1" applyAlignment="1">
      <alignment horizontal="right" vertical="center"/>
    </xf>
    <xf numFmtId="0" fontId="5" fillId="6" borderId="1" xfId="0" applyFont="1" applyFill="1" applyBorder="1" applyAlignment="1">
      <alignment horizontal="left" vertical="top" wrapText="1" indent="1"/>
    </xf>
    <xf numFmtId="164" fontId="0" fillId="0" borderId="1" xfId="0" applyNumberFormat="1" applyBorder="1" applyAlignment="1">
      <alignment horizontal="right" vertical="center"/>
    </xf>
    <xf numFmtId="0" fontId="0" fillId="4" borderId="1" xfId="0" applyFill="1" applyBorder="1" applyAlignment="1">
      <alignment horizontal="center" vertical="center"/>
    </xf>
    <xf numFmtId="166" fontId="0" fillId="7" borderId="1" xfId="0" applyNumberFormat="1" applyFill="1" applyBorder="1" applyAlignment="1">
      <alignment horizontal="right" vertical="center"/>
    </xf>
    <xf numFmtId="0" fontId="0" fillId="0" borderId="1" xfId="0" applyBorder="1" applyAlignment="1">
      <alignment horizontal="center" vertical="center"/>
    </xf>
    <xf numFmtId="0" fontId="2" fillId="0" borderId="0" xfId="0" applyFont="1" applyAlignment="1">
      <alignment horizontal="left" vertical="top" wrapText="1" indent="1"/>
    </xf>
    <xf numFmtId="0" fontId="0" fillId="0" borderId="0" xfId="0"/>
    <xf numFmtId="0" fontId="0" fillId="0" borderId="1" xfId="0" applyBorder="1" applyAlignment="1">
      <alignment horizontal="left" vertical="top" wrapText="1" indent="1"/>
    </xf>
    <xf numFmtId="0" fontId="0" fillId="0" borderId="1" xfId="0" applyBorder="1"/>
    <xf numFmtId="0" fontId="3" fillId="2" borderId="0" xfId="0" applyFont="1" applyFill="1" applyAlignment="1">
      <alignment horizontal="left" vertical="center" indent="1"/>
    </xf>
    <xf numFmtId="0" fontId="6" fillId="5" borderId="0" xfId="0" applyFont="1" applyFill="1" applyAlignment="1">
      <alignment horizontal="left" vertical="center" indent="1"/>
    </xf>
    <xf numFmtId="0" fontId="2" fillId="0" borderId="1" xfId="0" applyFont="1" applyBorder="1" applyAlignment="1">
      <alignment horizontal="center" vertical="center"/>
    </xf>
    <xf numFmtId="0" fontId="4" fillId="3" borderId="1" xfId="0" applyFont="1" applyFill="1" applyBorder="1" applyAlignment="1">
      <alignment horizontal="center" vertical="center"/>
    </xf>
    <xf numFmtId="0" fontId="0" fillId="0" borderId="3" xfId="0" applyBorder="1"/>
    <xf numFmtId="0" fontId="1" fillId="0" borderId="0" xfId="0" applyFont="1"/>
    <xf numFmtId="165" fontId="0" fillId="0" borderId="1" xfId="0" applyNumberFormat="1" applyBorder="1" applyAlignment="1">
      <alignment horizontal="right"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5" fillId="5" borderId="1" xfId="0" applyFont="1" applyFill="1" applyBorder="1" applyAlignment="1">
      <alignment horizontal="left" vertical="center" indent="1"/>
    </xf>
    <xf numFmtId="0" fontId="0" fillId="0" borderId="2" xfId="0" applyBorder="1"/>
    <xf numFmtId="0" fontId="5" fillId="6" borderId="1" xfId="0" applyFont="1" applyFill="1" applyBorder="1" applyAlignment="1">
      <alignment horizontal="left" vertical="top" wrapText="1" indent="1"/>
    </xf>
    <xf numFmtId="0" fontId="0" fillId="6" borderId="1" xfId="0" applyFill="1" applyBorder="1"/>
    <xf numFmtId="165" fontId="5" fillId="6" borderId="1" xfId="0" applyNumberFormat="1" applyFont="1" applyFill="1" applyBorder="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2"/>
  <sheetViews>
    <sheetView tabSelected="1" workbookViewId="0">
      <pane ySplit="3" topLeftCell="A73" activePane="bottomLeft" state="frozen"/>
      <selection pane="bottomLeft" activeCell="D137" sqref="D137:F137"/>
    </sheetView>
  </sheetViews>
  <sheetFormatPr defaultRowHeight="14.25" x14ac:dyDescent="0.45"/>
  <cols>
    <col min="1" max="1" width="44" customWidth="1"/>
    <col min="2" max="2" width="20" customWidth="1"/>
    <col min="3" max="3" width="28.53125" customWidth="1"/>
    <col min="4" max="7" width="20" customWidth="1"/>
  </cols>
  <sheetData>
    <row r="1" spans="1:6" ht="30" customHeight="1" x14ac:dyDescent="0.65">
      <c r="A1" s="30" t="s">
        <v>0</v>
      </c>
      <c r="B1" s="22"/>
      <c r="C1" s="22"/>
      <c r="D1" s="22"/>
      <c r="E1" s="22"/>
      <c r="F1" s="22"/>
    </row>
    <row r="2" spans="1:6" ht="36" customHeight="1" x14ac:dyDescent="0.45">
      <c r="A2" s="21" t="s">
        <v>1</v>
      </c>
      <c r="B2" s="22"/>
      <c r="C2" s="22"/>
      <c r="D2" s="22"/>
      <c r="E2" s="22"/>
      <c r="F2" s="22"/>
    </row>
    <row r="4" spans="1:6" ht="26" customHeight="1" x14ac:dyDescent="0.45">
      <c r="A4" s="25" t="s">
        <v>2</v>
      </c>
      <c r="B4" s="22"/>
      <c r="C4" s="22"/>
      <c r="D4" s="22"/>
      <c r="E4" s="22"/>
      <c r="F4" s="22"/>
    </row>
    <row r="5" spans="1:6" ht="20" customHeight="1" x14ac:dyDescent="0.45">
      <c r="A5" s="1" t="s">
        <v>3</v>
      </c>
      <c r="B5" s="1" t="s">
        <v>4</v>
      </c>
      <c r="C5" s="28" t="s">
        <v>5</v>
      </c>
      <c r="D5" s="35"/>
      <c r="E5" s="35"/>
      <c r="F5" s="29"/>
    </row>
    <row r="6" spans="1:6" x14ac:dyDescent="0.45">
      <c r="A6" s="2" t="s">
        <v>6</v>
      </c>
      <c r="B6" s="3">
        <v>200000000</v>
      </c>
      <c r="C6" s="23" t="s">
        <v>7</v>
      </c>
      <c r="D6" s="24"/>
      <c r="E6" s="24"/>
      <c r="F6" s="24"/>
    </row>
    <row r="7" spans="1:6" x14ac:dyDescent="0.45">
      <c r="A7" s="2" t="s">
        <v>8</v>
      </c>
      <c r="B7" s="3">
        <v>90</v>
      </c>
      <c r="C7" s="23" t="s">
        <v>9</v>
      </c>
      <c r="D7" s="24"/>
      <c r="E7" s="24"/>
      <c r="F7" s="24"/>
    </row>
    <row r="8" spans="1:6" x14ac:dyDescent="0.45">
      <c r="A8" s="2" t="s">
        <v>10</v>
      </c>
      <c r="B8" s="3">
        <v>25000</v>
      </c>
      <c r="C8" s="23" t="s">
        <v>11</v>
      </c>
      <c r="D8" s="24"/>
      <c r="E8" s="24"/>
      <c r="F8" s="24"/>
    </row>
    <row r="9" spans="1:6" x14ac:dyDescent="0.45">
      <c r="A9" s="2" t="s">
        <v>12</v>
      </c>
      <c r="B9" s="5">
        <v>0.02</v>
      </c>
      <c r="C9" s="23" t="s">
        <v>13</v>
      </c>
      <c r="D9" s="24"/>
      <c r="E9" s="24"/>
      <c r="F9" s="24"/>
    </row>
    <row r="10" spans="1:6" x14ac:dyDescent="0.45">
      <c r="A10" s="2" t="s">
        <v>14</v>
      </c>
      <c r="B10" s="5">
        <v>0.12</v>
      </c>
      <c r="C10" s="23" t="s">
        <v>15</v>
      </c>
      <c r="D10" s="24"/>
      <c r="E10" s="24"/>
      <c r="F10" s="24"/>
    </row>
    <row r="11" spans="1:6" x14ac:dyDescent="0.45">
      <c r="A11" s="2" t="s">
        <v>16</v>
      </c>
      <c r="B11" s="5">
        <v>0.06</v>
      </c>
      <c r="C11" s="23" t="s">
        <v>17</v>
      </c>
      <c r="D11" s="24"/>
      <c r="E11" s="24"/>
      <c r="F11" s="24"/>
    </row>
    <row r="12" spans="1:6" x14ac:dyDescent="0.45">
      <c r="A12" s="2" t="s">
        <v>18</v>
      </c>
      <c r="B12" s="5">
        <v>5.0000000000000001E-3</v>
      </c>
      <c r="C12" s="23" t="s">
        <v>19</v>
      </c>
      <c r="D12" s="24"/>
      <c r="E12" s="24"/>
      <c r="F12" s="24"/>
    </row>
    <row r="13" spans="1:6" x14ac:dyDescent="0.45">
      <c r="A13" s="2" t="s">
        <v>20</v>
      </c>
      <c r="B13" s="6">
        <v>2.5000000000000001E-3</v>
      </c>
      <c r="C13" s="23" t="s">
        <v>21</v>
      </c>
      <c r="D13" s="24"/>
      <c r="E13" s="24"/>
      <c r="F13" s="24"/>
    </row>
    <row r="14" spans="1:6" x14ac:dyDescent="0.45">
      <c r="A14" s="2" t="s">
        <v>22</v>
      </c>
      <c r="B14" s="6">
        <v>1.1999999999999999E-3</v>
      </c>
      <c r="C14" s="23" t="s">
        <v>23</v>
      </c>
      <c r="D14" s="24"/>
      <c r="E14" s="24"/>
      <c r="F14" s="24"/>
    </row>
    <row r="15" spans="1:6" x14ac:dyDescent="0.45">
      <c r="A15" s="2" t="s">
        <v>24</v>
      </c>
      <c r="B15" s="6">
        <v>1.4E-3</v>
      </c>
      <c r="C15" s="23" t="s">
        <v>25</v>
      </c>
      <c r="D15" s="24"/>
      <c r="E15" s="24"/>
      <c r="F15" s="24"/>
    </row>
    <row r="16" spans="1:6" x14ac:dyDescent="0.45">
      <c r="A16" s="2" t="s">
        <v>26</v>
      </c>
      <c r="B16" s="6">
        <v>1.5E-3</v>
      </c>
      <c r="C16" s="23" t="s">
        <v>27</v>
      </c>
      <c r="D16" s="24"/>
      <c r="E16" s="24"/>
      <c r="F16" s="24"/>
    </row>
    <row r="17" spans="1:6" x14ac:dyDescent="0.45">
      <c r="A17" s="2" t="s">
        <v>28</v>
      </c>
      <c r="B17" s="7">
        <v>15000</v>
      </c>
      <c r="C17" s="23" t="s">
        <v>29</v>
      </c>
      <c r="D17" s="24"/>
      <c r="E17" s="24"/>
      <c r="F17" s="24"/>
    </row>
    <row r="18" spans="1:6" x14ac:dyDescent="0.45">
      <c r="A18" s="2" t="s">
        <v>30</v>
      </c>
      <c r="B18" s="7">
        <v>25000</v>
      </c>
      <c r="C18" s="23" t="s">
        <v>31</v>
      </c>
      <c r="D18" s="24"/>
      <c r="E18" s="24"/>
      <c r="F18" s="24"/>
    </row>
    <row r="19" spans="1:6" x14ac:dyDescent="0.45">
      <c r="A19" s="2" t="s">
        <v>32</v>
      </c>
      <c r="B19" s="7">
        <v>35000</v>
      </c>
      <c r="C19" s="23" t="s">
        <v>33</v>
      </c>
      <c r="D19" s="24"/>
      <c r="E19" s="24"/>
      <c r="F19" s="24"/>
    </row>
    <row r="20" spans="1:6" x14ac:dyDescent="0.45">
      <c r="A20" s="2" t="s">
        <v>34</v>
      </c>
      <c r="B20" s="7">
        <v>100000</v>
      </c>
      <c r="C20" s="23" t="s">
        <v>35</v>
      </c>
      <c r="D20" s="24"/>
      <c r="E20" s="24"/>
      <c r="F20" s="24"/>
    </row>
    <row r="22" spans="1:6" ht="20" customHeight="1" x14ac:dyDescent="0.45">
      <c r="A22" s="34" t="s">
        <v>36</v>
      </c>
      <c r="B22" s="35"/>
      <c r="C22" s="35"/>
      <c r="D22" s="35"/>
      <c r="E22" s="35"/>
      <c r="F22" s="29"/>
    </row>
    <row r="23" spans="1:6" x14ac:dyDescent="0.45">
      <c r="A23" s="2" t="s">
        <v>37</v>
      </c>
      <c r="B23" s="7">
        <v>100000</v>
      </c>
      <c r="C23" s="23" t="s">
        <v>38</v>
      </c>
      <c r="D23" s="24"/>
      <c r="E23" s="24"/>
      <c r="F23" s="24"/>
    </row>
    <row r="24" spans="1:6" x14ac:dyDescent="0.45">
      <c r="A24" s="2" t="s">
        <v>39</v>
      </c>
      <c r="B24" s="7">
        <v>15000</v>
      </c>
      <c r="C24" s="23" t="s">
        <v>40</v>
      </c>
      <c r="D24" s="24"/>
      <c r="E24" s="24"/>
      <c r="F24" s="24"/>
    </row>
    <row r="25" spans="1:6" x14ac:dyDescent="0.45">
      <c r="A25" s="2" t="s">
        <v>41</v>
      </c>
      <c r="B25" s="7">
        <v>17000</v>
      </c>
      <c r="C25" s="23" t="s">
        <v>42</v>
      </c>
      <c r="D25" s="24"/>
      <c r="E25" s="24"/>
      <c r="F25" s="24"/>
    </row>
    <row r="26" spans="1:6" x14ac:dyDescent="0.45">
      <c r="A26" s="2" t="s">
        <v>43</v>
      </c>
      <c r="B26" s="7">
        <v>22000</v>
      </c>
      <c r="C26" s="23" t="s">
        <v>44</v>
      </c>
      <c r="D26" s="24"/>
      <c r="E26" s="24"/>
      <c r="F26" s="24"/>
    </row>
    <row r="27" spans="1:6" x14ac:dyDescent="0.45">
      <c r="A27" s="2" t="s">
        <v>45</v>
      </c>
      <c r="B27" s="7">
        <v>1000</v>
      </c>
      <c r="C27" s="23" t="s">
        <v>46</v>
      </c>
      <c r="D27" s="24"/>
      <c r="E27" s="24"/>
      <c r="F27" s="24"/>
    </row>
    <row r="28" spans="1:6" x14ac:dyDescent="0.45">
      <c r="A28" s="2" t="s">
        <v>47</v>
      </c>
      <c r="B28" s="7">
        <v>5000</v>
      </c>
      <c r="C28" s="23"/>
      <c r="D28" s="24"/>
      <c r="E28" s="24"/>
      <c r="F28" s="24"/>
    </row>
    <row r="29" spans="1:6" x14ac:dyDescent="0.45">
      <c r="A29" s="2" t="s">
        <v>48</v>
      </c>
      <c r="B29" s="7">
        <v>12000</v>
      </c>
      <c r="C29" s="23"/>
      <c r="D29" s="24"/>
      <c r="E29" s="24"/>
      <c r="F29" s="24"/>
    </row>
    <row r="30" spans="1:6" x14ac:dyDescent="0.45">
      <c r="A30" s="2" t="s">
        <v>49</v>
      </c>
      <c r="B30" s="7">
        <v>20000</v>
      </c>
      <c r="C30" s="23" t="s">
        <v>50</v>
      </c>
      <c r="D30" s="24"/>
      <c r="E30" s="24"/>
      <c r="F30" s="24"/>
    </row>
    <row r="31" spans="1:6" x14ac:dyDescent="0.45">
      <c r="A31" s="2" t="s">
        <v>51</v>
      </c>
      <c r="B31" s="7">
        <v>22000</v>
      </c>
      <c r="C31" s="23" t="s">
        <v>52</v>
      </c>
      <c r="D31" s="24"/>
      <c r="E31" s="24"/>
      <c r="F31" s="24"/>
    </row>
    <row r="32" spans="1:6" x14ac:dyDescent="0.45">
      <c r="A32" s="2" t="s">
        <v>53</v>
      </c>
      <c r="B32" s="7">
        <v>40000</v>
      </c>
      <c r="C32" s="23" t="s">
        <v>54</v>
      </c>
      <c r="D32" s="24"/>
      <c r="E32" s="24"/>
      <c r="F32" s="24"/>
    </row>
    <row r="33" spans="1:6" x14ac:dyDescent="0.45">
      <c r="A33" s="2" t="s">
        <v>55</v>
      </c>
      <c r="B33" s="7">
        <v>45000</v>
      </c>
      <c r="C33" s="23" t="s">
        <v>56</v>
      </c>
      <c r="D33" s="24"/>
      <c r="E33" s="24"/>
      <c r="F33" s="24"/>
    </row>
    <row r="34" spans="1:6" x14ac:dyDescent="0.45">
      <c r="A34" s="2" t="s">
        <v>57</v>
      </c>
      <c r="B34" s="7">
        <v>20000</v>
      </c>
      <c r="C34" s="23" t="s">
        <v>58</v>
      </c>
      <c r="D34" s="24"/>
      <c r="E34" s="24"/>
      <c r="F34" s="24"/>
    </row>
    <row r="35" spans="1:6" x14ac:dyDescent="0.45">
      <c r="A35" s="2" t="s">
        <v>59</v>
      </c>
      <c r="B35" s="7">
        <v>22000</v>
      </c>
      <c r="C35" s="23"/>
      <c r="D35" s="24"/>
      <c r="E35" s="24"/>
      <c r="F35" s="24"/>
    </row>
    <row r="36" spans="1:6" x14ac:dyDescent="0.45">
      <c r="A36" s="2" t="s">
        <v>60</v>
      </c>
      <c r="B36" s="7">
        <v>30000</v>
      </c>
      <c r="C36" s="23" t="s">
        <v>61</v>
      </c>
      <c r="D36" s="24"/>
      <c r="E36" s="24"/>
      <c r="F36" s="24"/>
    </row>
    <row r="37" spans="1:6" x14ac:dyDescent="0.45">
      <c r="A37" s="2" t="s">
        <v>62</v>
      </c>
      <c r="B37" s="7">
        <v>35000</v>
      </c>
      <c r="C37" s="23"/>
      <c r="D37" s="24"/>
      <c r="E37" s="24"/>
      <c r="F37" s="24"/>
    </row>
    <row r="39" spans="1:6" ht="36" customHeight="1" x14ac:dyDescent="0.45">
      <c r="A39" s="21" t="s">
        <v>63</v>
      </c>
      <c r="B39" s="22"/>
      <c r="C39" s="22"/>
      <c r="D39" s="22"/>
      <c r="E39" s="22"/>
      <c r="F39" s="22"/>
    </row>
    <row r="42" spans="1:6" ht="26" customHeight="1" x14ac:dyDescent="0.45">
      <c r="A42" s="25" t="s">
        <v>64</v>
      </c>
      <c r="B42" s="22"/>
      <c r="C42" s="22"/>
      <c r="D42" s="22"/>
      <c r="E42" s="22"/>
      <c r="F42" s="22"/>
    </row>
    <row r="44" spans="1:6" ht="22.05" customHeight="1" x14ac:dyDescent="0.45">
      <c r="A44" s="26" t="s">
        <v>65</v>
      </c>
      <c r="B44" s="22"/>
      <c r="C44" s="22"/>
      <c r="D44" s="22"/>
      <c r="E44" s="22"/>
      <c r="F44" s="22"/>
    </row>
    <row r="45" spans="1:6" ht="20" customHeight="1" x14ac:dyDescent="0.45">
      <c r="A45" s="1" t="s">
        <v>66</v>
      </c>
      <c r="B45" s="1" t="s">
        <v>67</v>
      </c>
      <c r="C45" s="1" t="s">
        <v>68</v>
      </c>
      <c r="D45" s="1" t="s">
        <v>69</v>
      </c>
      <c r="E45" s="28" t="s">
        <v>70</v>
      </c>
      <c r="F45" s="29"/>
    </row>
    <row r="46" spans="1:6" x14ac:dyDescent="0.45">
      <c r="A46" s="2" t="s">
        <v>71</v>
      </c>
      <c r="B46" s="8">
        <f>$B$6</f>
        <v>200000000</v>
      </c>
      <c r="C46" s="9">
        <f>$B$6/$B$8</f>
        <v>8000</v>
      </c>
      <c r="D46" s="10">
        <f>$B$6/$B$6</f>
        <v>1</v>
      </c>
      <c r="E46" s="23" t="s">
        <v>72</v>
      </c>
      <c r="F46" s="24"/>
    </row>
    <row r="47" spans="1:6" x14ac:dyDescent="0.45">
      <c r="A47" s="2" t="s">
        <v>8</v>
      </c>
      <c r="B47" s="11">
        <f>$B$7</f>
        <v>90</v>
      </c>
      <c r="C47" s="2"/>
      <c r="D47" s="2"/>
      <c r="E47" s="23" t="s">
        <v>73</v>
      </c>
      <c r="F47" s="24"/>
    </row>
    <row r="48" spans="1:6" x14ac:dyDescent="0.45">
      <c r="A48" s="2" t="s">
        <v>74</v>
      </c>
      <c r="B48" s="8">
        <f>$B$6*$B$9*($B$7/30)</f>
        <v>12000000</v>
      </c>
      <c r="C48" s="9">
        <f>$B$6*$B$9*($B$7/30)/$B$8</f>
        <v>480</v>
      </c>
      <c r="D48" s="10">
        <f>$B$9*($B$7/30)</f>
        <v>0.06</v>
      </c>
      <c r="E48" s="23" t="s">
        <v>75</v>
      </c>
      <c r="F48" s="24"/>
    </row>
    <row r="49" spans="1:6" x14ac:dyDescent="0.45">
      <c r="A49" s="12" t="s">
        <v>76</v>
      </c>
      <c r="B49" s="13">
        <f>$B$6-B48</f>
        <v>188000000</v>
      </c>
      <c r="C49" s="14">
        <f>($B$6-B48)/$B$8</f>
        <v>7520</v>
      </c>
      <c r="D49" s="15">
        <f>($B$6-B48)/$B$6</f>
        <v>0.94</v>
      </c>
      <c r="E49" s="36" t="s">
        <v>77</v>
      </c>
      <c r="F49" s="37"/>
    </row>
    <row r="50" spans="1:6" x14ac:dyDescent="0.45">
      <c r="A50" s="2" t="s">
        <v>78</v>
      </c>
      <c r="B50" s="2"/>
      <c r="C50" s="2"/>
      <c r="D50" s="17">
        <f>$B$9*12</f>
        <v>0.24</v>
      </c>
      <c r="E50" s="23" t="s">
        <v>79</v>
      </c>
      <c r="F50" s="24"/>
    </row>
    <row r="52" spans="1:6" ht="40.049999999999997" customHeight="1" x14ac:dyDescent="0.45">
      <c r="A52" s="21" t="s">
        <v>80</v>
      </c>
      <c r="B52" s="22"/>
      <c r="C52" s="22"/>
      <c r="D52" s="22"/>
      <c r="E52" s="22"/>
      <c r="F52" s="22"/>
    </row>
    <row r="55" spans="1:6" ht="22.05" customHeight="1" x14ac:dyDescent="0.45">
      <c r="A55" s="26" t="s">
        <v>81</v>
      </c>
      <c r="B55" s="22"/>
      <c r="C55" s="22"/>
      <c r="D55" s="22"/>
      <c r="E55" s="22"/>
      <c r="F55" s="22"/>
    </row>
    <row r="56" spans="1:6" ht="20" customHeight="1" x14ac:dyDescent="0.45">
      <c r="A56" s="1" t="s">
        <v>66</v>
      </c>
      <c r="B56" s="1" t="s">
        <v>67</v>
      </c>
      <c r="C56" s="1" t="s">
        <v>68</v>
      </c>
      <c r="D56" s="1" t="s">
        <v>69</v>
      </c>
      <c r="E56" s="28" t="s">
        <v>70</v>
      </c>
      <c r="F56" s="29"/>
    </row>
    <row r="57" spans="1:6" x14ac:dyDescent="0.45">
      <c r="A57" s="2" t="s">
        <v>71</v>
      </c>
      <c r="B57" s="8">
        <f>$B$6</f>
        <v>200000000</v>
      </c>
      <c r="C57" s="9">
        <f>$B$6/$B$8</f>
        <v>8000</v>
      </c>
      <c r="D57" s="10">
        <f>$B$6/$B$6</f>
        <v>1</v>
      </c>
      <c r="E57" s="23" t="s">
        <v>72</v>
      </c>
      <c r="F57" s="24"/>
    </row>
    <row r="58" spans="1:6" x14ac:dyDescent="0.45">
      <c r="A58" s="2" t="s">
        <v>8</v>
      </c>
      <c r="B58" s="11">
        <f>$B$7</f>
        <v>90</v>
      </c>
      <c r="C58" s="2"/>
      <c r="D58" s="2"/>
      <c r="E58" s="24"/>
      <c r="F58" s="24"/>
    </row>
    <row r="59" spans="1:6" x14ac:dyDescent="0.45">
      <c r="A59" s="2" t="s">
        <v>82</v>
      </c>
      <c r="B59" s="2"/>
      <c r="C59" s="2"/>
      <c r="D59" s="17">
        <f>$B$10</f>
        <v>0.12</v>
      </c>
      <c r="E59" s="23" t="s">
        <v>83</v>
      </c>
      <c r="F59" s="24"/>
    </row>
    <row r="60" spans="1:6" x14ac:dyDescent="0.45">
      <c r="A60" s="2" t="s">
        <v>84</v>
      </c>
      <c r="B60" s="8">
        <f>$B$6*$B$10*($B$7/365)</f>
        <v>5917808.2191780815</v>
      </c>
      <c r="C60" s="9">
        <f>$B$6*$B$10*($B$7/365)/$B$8</f>
        <v>236.71232876712327</v>
      </c>
      <c r="D60" s="10">
        <f>$B$10*($B$7/365)</f>
        <v>2.9589041095890407E-2</v>
      </c>
      <c r="E60" s="23" t="s">
        <v>85</v>
      </c>
      <c r="F60" s="24"/>
    </row>
    <row r="61" spans="1:6" x14ac:dyDescent="0.45">
      <c r="A61" s="2" t="s">
        <v>86</v>
      </c>
      <c r="B61" s="8">
        <f>-$B$6*$B$11*($B$7/365)</f>
        <v>-2958904.1095890407</v>
      </c>
      <c r="C61" s="9">
        <f>-$B$6*$B$11*($B$7/365)/$B$8</f>
        <v>-118.35616438356163</v>
      </c>
      <c r="D61" s="10">
        <f>-$B$11*($B$7/365)</f>
        <v>-1.4794520547945203E-2</v>
      </c>
      <c r="E61" s="23" t="s">
        <v>87</v>
      </c>
      <c r="F61" s="24"/>
    </row>
    <row r="62" spans="1:6" x14ac:dyDescent="0.45">
      <c r="A62" s="2" t="s">
        <v>88</v>
      </c>
      <c r="B62" s="8">
        <f>-$B$6*$B$12</f>
        <v>-1000000</v>
      </c>
      <c r="C62" s="9">
        <f>-$B$6*$B$12/$B$8</f>
        <v>-40</v>
      </c>
      <c r="D62" s="10">
        <f>-$B$12</f>
        <v>-5.0000000000000001E-3</v>
      </c>
      <c r="E62" s="23" t="s">
        <v>89</v>
      </c>
      <c r="F62" s="24"/>
    </row>
    <row r="63" spans="1:6" x14ac:dyDescent="0.45">
      <c r="A63" s="2" t="s">
        <v>90</v>
      </c>
      <c r="B63" s="8">
        <f>-$B$6*$B$13</f>
        <v>-500000</v>
      </c>
      <c r="C63" s="9">
        <f>-$B$6*$B$13/$B$8</f>
        <v>-20</v>
      </c>
      <c r="D63" s="10">
        <f>-$B$13</f>
        <v>-2.5000000000000001E-3</v>
      </c>
      <c r="E63" s="23" t="s">
        <v>91</v>
      </c>
      <c r="F63" s="24"/>
    </row>
    <row r="64" spans="1:6" x14ac:dyDescent="0.45">
      <c r="A64" s="12" t="s">
        <v>92</v>
      </c>
      <c r="B64" s="13">
        <f>B60+B61+B62+B63</f>
        <v>1458904.1095890407</v>
      </c>
      <c r="C64" s="14">
        <f>C60+C61+C62+C63</f>
        <v>58.356164383561634</v>
      </c>
      <c r="D64" s="15">
        <f>D60+D61+D62+D63</f>
        <v>7.2945205479452036E-3</v>
      </c>
      <c r="E64" s="36" t="s">
        <v>93</v>
      </c>
      <c r="F64" s="37"/>
    </row>
    <row r="65" spans="1:6" x14ac:dyDescent="0.45">
      <c r="A65" s="2" t="s">
        <v>94</v>
      </c>
      <c r="B65" s="8">
        <f>-$B$6*$B$14</f>
        <v>-239999.99999999997</v>
      </c>
      <c r="C65" s="9">
        <f>-$B$6*$B$14/$B$8</f>
        <v>-9.6</v>
      </c>
      <c r="D65" s="10">
        <f>-$B$14</f>
        <v>-1.1999999999999999E-3</v>
      </c>
      <c r="E65" s="23" t="s">
        <v>95</v>
      </c>
      <c r="F65" s="24"/>
    </row>
    <row r="66" spans="1:6" x14ac:dyDescent="0.45">
      <c r="A66" s="12" t="s">
        <v>96</v>
      </c>
      <c r="B66" s="13">
        <f>B64+B65</f>
        <v>1218904.1095890407</v>
      </c>
      <c r="C66" s="14">
        <f>C64+C65</f>
        <v>48.756164383561632</v>
      </c>
      <c r="D66" s="15">
        <f>D64+D65</f>
        <v>6.0945205479452039E-3</v>
      </c>
      <c r="E66" s="36" t="s">
        <v>97</v>
      </c>
      <c r="F66" s="37"/>
    </row>
    <row r="67" spans="1:6" x14ac:dyDescent="0.45">
      <c r="A67" s="2" t="s">
        <v>98</v>
      </c>
      <c r="B67" s="2"/>
      <c r="C67" s="2"/>
      <c r="D67" s="17">
        <f>-B65/B64</f>
        <v>0.16450704225352114</v>
      </c>
      <c r="E67" s="23" t="s">
        <v>99</v>
      </c>
      <c r="F67" s="24"/>
    </row>
    <row r="68" spans="1:6" x14ac:dyDescent="0.45">
      <c r="A68" s="12" t="s">
        <v>100</v>
      </c>
      <c r="B68" s="13">
        <f>$B$6-B60</f>
        <v>194082191.78082192</v>
      </c>
      <c r="C68" s="14">
        <f>($B$6-B60)/$B$8</f>
        <v>7763.2876712328771</v>
      </c>
      <c r="D68" s="15">
        <f>($B$6-B60)/$B$6</f>
        <v>0.97041095890410956</v>
      </c>
      <c r="E68" s="36" t="s">
        <v>101</v>
      </c>
      <c r="F68" s="37"/>
    </row>
    <row r="69" spans="1:6" x14ac:dyDescent="0.45">
      <c r="A69" s="12" t="s">
        <v>102</v>
      </c>
      <c r="B69" s="13">
        <f>B68-B49</f>
        <v>6082191.7808219194</v>
      </c>
      <c r="C69" s="14">
        <f>C68-C49</f>
        <v>243.28767123287707</v>
      </c>
      <c r="D69" s="15">
        <f>(B68-B49)/B57</f>
        <v>3.0410958904109598E-2</v>
      </c>
      <c r="E69" s="36" t="s">
        <v>103</v>
      </c>
      <c r="F69" s="37"/>
    </row>
    <row r="71" spans="1:6" ht="40.049999999999997" customHeight="1" x14ac:dyDescent="0.45">
      <c r="A71" s="21" t="s">
        <v>104</v>
      </c>
      <c r="B71" s="22"/>
      <c r="C71" s="22"/>
      <c r="D71" s="22"/>
      <c r="E71" s="22"/>
      <c r="F71" s="22"/>
    </row>
    <row r="74" spans="1:6" ht="22.05" customHeight="1" x14ac:dyDescent="0.45">
      <c r="A74" s="26" t="s">
        <v>105</v>
      </c>
      <c r="B74" s="22"/>
      <c r="C74" s="22"/>
      <c r="D74" s="22"/>
      <c r="E74" s="22"/>
      <c r="F74" s="22"/>
    </row>
    <row r="75" spans="1:6" ht="20" customHeight="1" x14ac:dyDescent="0.45">
      <c r="A75" s="1" t="s">
        <v>106</v>
      </c>
      <c r="B75" s="1" t="s">
        <v>107</v>
      </c>
      <c r="C75" s="1" t="s">
        <v>108</v>
      </c>
      <c r="D75" s="28" t="s">
        <v>109</v>
      </c>
      <c r="E75" s="35"/>
      <c r="F75" s="29"/>
    </row>
    <row r="76" spans="1:6" x14ac:dyDescent="0.45">
      <c r="A76" s="2" t="s">
        <v>110</v>
      </c>
      <c r="B76" s="8">
        <f>B69</f>
        <v>6082191.7808219194</v>
      </c>
      <c r="C76" s="9">
        <f>C69</f>
        <v>243.28767123287707</v>
      </c>
      <c r="D76" s="31">
        <f>B76/B80</f>
        <v>0.80653950953678488</v>
      </c>
      <c r="E76" s="24"/>
      <c r="F76" s="24"/>
    </row>
    <row r="77" spans="1:6" x14ac:dyDescent="0.45">
      <c r="A77" s="2" t="s">
        <v>111</v>
      </c>
      <c r="B77" s="8">
        <f>B66</f>
        <v>1218904.1095890407</v>
      </c>
      <c r="C77" s="9">
        <f>C66</f>
        <v>48.756164383561632</v>
      </c>
      <c r="D77" s="31">
        <f>B77/B80</f>
        <v>0.16163487738419613</v>
      </c>
      <c r="E77" s="24"/>
      <c r="F77" s="24"/>
    </row>
    <row r="78" spans="1:6" x14ac:dyDescent="0.45">
      <c r="A78" s="2" t="s">
        <v>112</v>
      </c>
      <c r="B78" s="8">
        <f>$B$6*$B$14</f>
        <v>239999.99999999997</v>
      </c>
      <c r="C78" s="9">
        <f>$B$6*$B$14/$B$8</f>
        <v>9.6</v>
      </c>
      <c r="D78" s="31">
        <f>B78/B80</f>
        <v>3.1825613079019065E-2</v>
      </c>
      <c r="E78" s="24"/>
      <c r="F78" s="24"/>
    </row>
    <row r="79" spans="1:6" x14ac:dyDescent="0.45">
      <c r="A79" s="2" t="s">
        <v>113</v>
      </c>
      <c r="B79" s="8">
        <f>$B$6*($B$12+$B$13)</f>
        <v>1500000</v>
      </c>
      <c r="C79" s="9">
        <f>$B$6*($B$12+$B$13)/$B$8</f>
        <v>60</v>
      </c>
      <c r="D79" s="27" t="s">
        <v>114</v>
      </c>
      <c r="E79" s="24"/>
      <c r="F79" s="24"/>
    </row>
    <row r="80" spans="1:6" x14ac:dyDescent="0.45">
      <c r="A80" s="12" t="s">
        <v>115</v>
      </c>
      <c r="B80" s="13">
        <f>B76+B77+B78</f>
        <v>7541095.8904109597</v>
      </c>
      <c r="C80" s="14">
        <f>C76+C77+C78</f>
        <v>301.64383561643871</v>
      </c>
      <c r="D80" s="38">
        <f>D76+D77+D78</f>
        <v>1</v>
      </c>
      <c r="E80" s="37"/>
      <c r="F80" s="37"/>
    </row>
    <row r="82" spans="1:6" ht="40.049999999999997" customHeight="1" x14ac:dyDescent="0.45">
      <c r="A82" s="21" t="s">
        <v>116</v>
      </c>
      <c r="B82" s="22"/>
      <c r="C82" s="22"/>
      <c r="D82" s="22"/>
      <c r="E82" s="22"/>
      <c r="F82" s="22"/>
    </row>
    <row r="86" spans="1:6" ht="26" customHeight="1" x14ac:dyDescent="0.45">
      <c r="A86" s="25" t="s">
        <v>117</v>
      </c>
      <c r="B86" s="22"/>
      <c r="C86" s="22"/>
      <c r="D86" s="22"/>
      <c r="E86" s="22"/>
      <c r="F86" s="22"/>
    </row>
    <row r="88" spans="1:6" ht="22.05" customHeight="1" x14ac:dyDescent="0.45">
      <c r="A88" s="26" t="s">
        <v>118</v>
      </c>
      <c r="B88" s="22"/>
      <c r="C88" s="22"/>
      <c r="D88" s="22"/>
      <c r="E88" s="22"/>
      <c r="F88" s="22"/>
    </row>
    <row r="89" spans="1:6" ht="20" customHeight="1" x14ac:dyDescent="0.45">
      <c r="A89" s="1" t="s">
        <v>119</v>
      </c>
      <c r="B89" s="1" t="s">
        <v>120</v>
      </c>
      <c r="C89" s="1" t="s">
        <v>121</v>
      </c>
      <c r="D89" s="1" t="s">
        <v>122</v>
      </c>
    </row>
    <row r="90" spans="1:6" x14ac:dyDescent="0.45">
      <c r="A90" s="2" t="s">
        <v>123</v>
      </c>
      <c r="B90" s="3">
        <v>2026</v>
      </c>
      <c r="C90" s="3">
        <v>2027</v>
      </c>
      <c r="D90" s="3">
        <v>2028</v>
      </c>
    </row>
    <row r="91" spans="1:6" x14ac:dyDescent="0.45">
      <c r="A91" s="2" t="s">
        <v>124</v>
      </c>
      <c r="B91" s="18" t="s">
        <v>125</v>
      </c>
      <c r="C91" s="18" t="s">
        <v>126</v>
      </c>
      <c r="D91" s="18" t="s">
        <v>127</v>
      </c>
    </row>
    <row r="92" spans="1:6" x14ac:dyDescent="0.45">
      <c r="A92" s="2" t="s">
        <v>128</v>
      </c>
      <c r="B92" s="3">
        <v>2</v>
      </c>
      <c r="C92" s="3">
        <v>5</v>
      </c>
      <c r="D92" s="3">
        <v>7</v>
      </c>
    </row>
    <row r="93" spans="1:6" x14ac:dyDescent="0.45">
      <c r="A93" s="2" t="s">
        <v>129</v>
      </c>
      <c r="B93" s="3">
        <v>1</v>
      </c>
      <c r="C93" s="3">
        <v>3</v>
      </c>
      <c r="D93" s="3">
        <v>5</v>
      </c>
    </row>
    <row r="94" spans="1:6" x14ac:dyDescent="0.45">
      <c r="A94" s="2" t="s">
        <v>130</v>
      </c>
      <c r="B94" s="3">
        <v>8</v>
      </c>
      <c r="C94" s="3">
        <v>40</v>
      </c>
      <c r="D94" s="3">
        <v>125</v>
      </c>
    </row>
    <row r="95" spans="1:6" x14ac:dyDescent="0.45">
      <c r="A95" s="2" t="s">
        <v>131</v>
      </c>
      <c r="B95" s="3">
        <v>50</v>
      </c>
      <c r="C95" s="3">
        <v>200</v>
      </c>
      <c r="D95" s="3">
        <v>500</v>
      </c>
    </row>
    <row r="96" spans="1:6" x14ac:dyDescent="0.45">
      <c r="A96" s="2" t="s">
        <v>132</v>
      </c>
      <c r="B96" s="7">
        <v>100000</v>
      </c>
      <c r="C96" s="7">
        <v>120000</v>
      </c>
      <c r="D96" s="7">
        <v>150000</v>
      </c>
    </row>
    <row r="97" spans="1:6" x14ac:dyDescent="0.45">
      <c r="A97" s="12" t="s">
        <v>133</v>
      </c>
      <c r="B97" s="14">
        <f>B95*B96</f>
        <v>5000000</v>
      </c>
      <c r="C97" s="14">
        <f>C95*C96</f>
        <v>24000000</v>
      </c>
      <c r="D97" s="14">
        <f>D95*D96</f>
        <v>75000000</v>
      </c>
    </row>
    <row r="99" spans="1:6" ht="40.049999999999997" customHeight="1" x14ac:dyDescent="0.45">
      <c r="A99" s="21" t="s">
        <v>134</v>
      </c>
      <c r="B99" s="22"/>
      <c r="C99" s="22"/>
      <c r="D99" s="22"/>
      <c r="E99" s="22"/>
      <c r="F99" s="22"/>
    </row>
    <row r="102" spans="1:6" ht="22.05" customHeight="1" x14ac:dyDescent="0.45">
      <c r="A102" s="26" t="s">
        <v>135</v>
      </c>
      <c r="B102" s="22"/>
      <c r="C102" s="22"/>
      <c r="D102" s="22"/>
      <c r="E102" s="22"/>
      <c r="F102" s="22"/>
    </row>
    <row r="103" spans="1:6" ht="20" customHeight="1" x14ac:dyDescent="0.45">
      <c r="A103" s="1" t="s">
        <v>136</v>
      </c>
      <c r="B103" s="1" t="s">
        <v>137</v>
      </c>
      <c r="C103" s="1" t="s">
        <v>120</v>
      </c>
      <c r="D103" s="1" t="s">
        <v>121</v>
      </c>
      <c r="E103" s="1" t="s">
        <v>122</v>
      </c>
    </row>
    <row r="104" spans="1:6" x14ac:dyDescent="0.45">
      <c r="A104" s="2" t="s">
        <v>138</v>
      </c>
      <c r="B104" s="4" t="s">
        <v>139</v>
      </c>
      <c r="C104" s="19">
        <f>B97*$B$14</f>
        <v>5999.9999999999991</v>
      </c>
      <c r="D104" s="19">
        <f>C97*$B$15</f>
        <v>33600</v>
      </c>
      <c r="E104" s="19">
        <f>D97*$B$16</f>
        <v>112500</v>
      </c>
    </row>
    <row r="105" spans="1:6" ht="28.5" x14ac:dyDescent="0.45">
      <c r="A105" s="2" t="s">
        <v>140</v>
      </c>
      <c r="B105" s="4" t="s">
        <v>141</v>
      </c>
      <c r="C105" s="19">
        <f>B92*$B$17</f>
        <v>30000</v>
      </c>
      <c r="D105" s="19">
        <f>C92*$B$18</f>
        <v>125000</v>
      </c>
      <c r="E105" s="19">
        <f>D92*$B$19</f>
        <v>245000</v>
      </c>
    </row>
    <row r="106" spans="1:6" x14ac:dyDescent="0.45">
      <c r="A106" s="12" t="s">
        <v>142</v>
      </c>
      <c r="B106" s="16" t="s">
        <v>143</v>
      </c>
      <c r="C106" s="14">
        <f>C104+C105</f>
        <v>36000</v>
      </c>
      <c r="D106" s="14">
        <f>D104+D105</f>
        <v>158600</v>
      </c>
      <c r="E106" s="14">
        <f>E104+E105</f>
        <v>357500</v>
      </c>
    </row>
    <row r="107" spans="1:6" ht="28.5" x14ac:dyDescent="0.45">
      <c r="A107" s="2" t="s">
        <v>144</v>
      </c>
      <c r="B107" s="4" t="s">
        <v>145</v>
      </c>
      <c r="C107" s="10">
        <f>C106/B97</f>
        <v>7.1999999999999998E-3</v>
      </c>
      <c r="D107" s="10">
        <f>D106/C97</f>
        <v>6.6083333333333332E-3</v>
      </c>
      <c r="E107" s="10">
        <f>E106/D97</f>
        <v>4.7666666666666664E-3</v>
      </c>
    </row>
    <row r="109" spans="1:6" ht="40.049999999999997" customHeight="1" x14ac:dyDescent="0.45">
      <c r="A109" s="21" t="s">
        <v>146</v>
      </c>
      <c r="B109" s="22"/>
      <c r="C109" s="22"/>
      <c r="D109" s="22"/>
      <c r="E109" s="22"/>
      <c r="F109" s="22"/>
    </row>
    <row r="112" spans="1:6" ht="22.05" customHeight="1" x14ac:dyDescent="0.45">
      <c r="A112" s="26" t="s">
        <v>147</v>
      </c>
      <c r="B112" s="22"/>
      <c r="C112" s="22"/>
      <c r="D112" s="22"/>
      <c r="E112" s="22"/>
      <c r="F112" s="22"/>
    </row>
    <row r="113" spans="1:6" ht="20" customHeight="1" x14ac:dyDescent="0.45">
      <c r="A113" s="1" t="s">
        <v>148</v>
      </c>
      <c r="B113" s="1" t="s">
        <v>120</v>
      </c>
      <c r="C113" s="1" t="s">
        <v>121</v>
      </c>
      <c r="D113" s="1" t="s">
        <v>122</v>
      </c>
    </row>
    <row r="114" spans="1:6" x14ac:dyDescent="0.45">
      <c r="A114" s="2" t="s">
        <v>149</v>
      </c>
      <c r="B114" s="19">
        <f>$B$23</f>
        <v>100000</v>
      </c>
      <c r="C114" s="19">
        <f>$B$24</f>
        <v>15000</v>
      </c>
      <c r="D114" s="19">
        <f>$B$24</f>
        <v>15000</v>
      </c>
    </row>
    <row r="115" spans="1:6" x14ac:dyDescent="0.45">
      <c r="A115" s="2" t="s">
        <v>150</v>
      </c>
      <c r="B115" s="19">
        <f>$B$25</f>
        <v>17000</v>
      </c>
      <c r="C115" s="19">
        <f>$B$25</f>
        <v>17000</v>
      </c>
      <c r="D115" s="19">
        <f>$B$26</f>
        <v>22000</v>
      </c>
    </row>
    <row r="116" spans="1:6" x14ac:dyDescent="0.45">
      <c r="A116" s="2" t="s">
        <v>151</v>
      </c>
      <c r="B116" s="19">
        <f>$B$27</f>
        <v>1000</v>
      </c>
      <c r="C116" s="19">
        <f>$B$28</f>
        <v>5000</v>
      </c>
      <c r="D116" s="19">
        <f>$B$29</f>
        <v>12000</v>
      </c>
    </row>
    <row r="117" spans="1:6" x14ac:dyDescent="0.45">
      <c r="A117" s="2" t="s">
        <v>152</v>
      </c>
      <c r="B117" s="19">
        <f>$B$30</f>
        <v>20000</v>
      </c>
      <c r="C117" s="19">
        <f>$B$30</f>
        <v>20000</v>
      </c>
      <c r="D117" s="19">
        <f>$B$31</f>
        <v>22000</v>
      </c>
    </row>
    <row r="118" spans="1:6" x14ac:dyDescent="0.45">
      <c r="A118" s="2" t="s">
        <v>153</v>
      </c>
      <c r="B118" s="19">
        <f>$B$32</f>
        <v>40000</v>
      </c>
      <c r="C118" s="19">
        <f>$B$32</f>
        <v>40000</v>
      </c>
      <c r="D118" s="19">
        <f>$B$33</f>
        <v>45000</v>
      </c>
    </row>
    <row r="119" spans="1:6" x14ac:dyDescent="0.45">
      <c r="A119" s="2" t="s">
        <v>154</v>
      </c>
      <c r="B119" s="19">
        <f>$B$34</f>
        <v>20000</v>
      </c>
      <c r="C119" s="19">
        <f>$B$34</f>
        <v>20000</v>
      </c>
      <c r="D119" s="19">
        <f>$B$35</f>
        <v>22000</v>
      </c>
    </row>
    <row r="120" spans="1:6" x14ac:dyDescent="0.45">
      <c r="A120" s="2" t="s">
        <v>155</v>
      </c>
      <c r="B120" s="19">
        <f>$B$36</f>
        <v>30000</v>
      </c>
      <c r="C120" s="19">
        <f>$B$36</f>
        <v>30000</v>
      </c>
      <c r="D120" s="19">
        <f>$B$37</f>
        <v>35000</v>
      </c>
    </row>
    <row r="121" spans="1:6" x14ac:dyDescent="0.45">
      <c r="A121" s="12" t="s">
        <v>156</v>
      </c>
      <c r="B121" s="14">
        <f>SUM(B114:B120)</f>
        <v>228000</v>
      </c>
      <c r="C121" s="14">
        <f>SUM(C114:C120)</f>
        <v>147000</v>
      </c>
      <c r="D121" s="14">
        <f>SUM(D114:D120)</f>
        <v>173000</v>
      </c>
    </row>
    <row r="123" spans="1:6" ht="40.049999999999997" customHeight="1" x14ac:dyDescent="0.45">
      <c r="A123" s="21" t="s">
        <v>157</v>
      </c>
      <c r="B123" s="22"/>
      <c r="C123" s="22"/>
      <c r="D123" s="22"/>
      <c r="E123" s="22"/>
      <c r="F123" s="22"/>
    </row>
    <row r="126" spans="1:6" ht="22.05" customHeight="1" x14ac:dyDescent="0.45">
      <c r="A126" s="26" t="s">
        <v>158</v>
      </c>
      <c r="B126" s="22"/>
      <c r="C126" s="22"/>
      <c r="D126" s="22"/>
      <c r="E126" s="22"/>
      <c r="F126" s="22"/>
    </row>
    <row r="127" spans="1:6" ht="20" customHeight="1" x14ac:dyDescent="0.45">
      <c r="A127" s="1" t="s">
        <v>159</v>
      </c>
      <c r="B127" s="1" t="s">
        <v>120</v>
      </c>
      <c r="C127" s="1" t="s">
        <v>121</v>
      </c>
      <c r="D127" s="1" t="s">
        <v>122</v>
      </c>
    </row>
    <row r="128" spans="1:6" x14ac:dyDescent="0.45">
      <c r="A128" s="2" t="s">
        <v>142</v>
      </c>
      <c r="B128" s="19">
        <f>C106</f>
        <v>36000</v>
      </c>
      <c r="C128" s="19">
        <f>D106</f>
        <v>158600</v>
      </c>
      <c r="D128" s="19">
        <f>E106</f>
        <v>357500</v>
      </c>
    </row>
    <row r="129" spans="1:6" x14ac:dyDescent="0.45">
      <c r="A129" s="2" t="s">
        <v>156</v>
      </c>
      <c r="B129" s="19">
        <f>-B121</f>
        <v>-228000</v>
      </c>
      <c r="C129" s="19">
        <f>-C121</f>
        <v>-147000</v>
      </c>
      <c r="D129" s="19">
        <f>-D121</f>
        <v>-173000</v>
      </c>
    </row>
    <row r="130" spans="1:6" x14ac:dyDescent="0.45">
      <c r="A130" s="12" t="s">
        <v>160</v>
      </c>
      <c r="B130" s="14">
        <f>B128+B129</f>
        <v>-192000</v>
      </c>
      <c r="C130" s="14">
        <f>C128+C129</f>
        <v>11600</v>
      </c>
      <c r="D130" s="14">
        <f>D128+D129</f>
        <v>184500</v>
      </c>
    </row>
    <row r="131" spans="1:6" x14ac:dyDescent="0.45">
      <c r="A131" s="2" t="s">
        <v>161</v>
      </c>
      <c r="B131" s="19">
        <f>B130</f>
        <v>-192000</v>
      </c>
      <c r="C131" s="19">
        <f>B131+C130</f>
        <v>-180400</v>
      </c>
      <c r="D131" s="19">
        <f>C131+D130</f>
        <v>4100</v>
      </c>
    </row>
    <row r="133" spans="1:6" ht="40.049999999999997" customHeight="1" x14ac:dyDescent="0.45">
      <c r="A133" s="21" t="s">
        <v>162</v>
      </c>
      <c r="B133" s="22"/>
      <c r="C133" s="22"/>
      <c r="D133" s="22"/>
      <c r="E133" s="22"/>
      <c r="F133" s="22"/>
    </row>
    <row r="136" spans="1:6" ht="22.05" customHeight="1" x14ac:dyDescent="0.45">
      <c r="A136" s="26" t="s">
        <v>163</v>
      </c>
      <c r="B136" s="22"/>
      <c r="C136" s="22"/>
      <c r="D136" s="22"/>
      <c r="E136" s="22"/>
      <c r="F136" s="22"/>
    </row>
    <row r="137" spans="1:6" ht="20" customHeight="1" x14ac:dyDescent="0.45">
      <c r="A137" s="1" t="s">
        <v>164</v>
      </c>
      <c r="B137" s="1" t="s">
        <v>165</v>
      </c>
      <c r="C137" s="1" t="s">
        <v>166</v>
      </c>
      <c r="D137" s="32" t="s">
        <v>167</v>
      </c>
      <c r="E137" s="33"/>
      <c r="F137" s="33"/>
    </row>
    <row r="138" spans="1:6" x14ac:dyDescent="0.45">
      <c r="A138" s="20" t="s">
        <v>168</v>
      </c>
      <c r="B138" s="19">
        <f>-B130</f>
        <v>192000</v>
      </c>
      <c r="C138" s="19">
        <f>B138</f>
        <v>192000</v>
      </c>
      <c r="D138" s="23" t="s">
        <v>169</v>
      </c>
      <c r="E138" s="24"/>
      <c r="F138" s="24"/>
    </row>
    <row r="139" spans="1:6" x14ac:dyDescent="0.45">
      <c r="A139" s="20" t="s">
        <v>170</v>
      </c>
      <c r="B139" s="19">
        <f>C130</f>
        <v>11600</v>
      </c>
      <c r="C139" s="19">
        <f>C138+B139</f>
        <v>203600</v>
      </c>
      <c r="D139" s="23" t="s">
        <v>171</v>
      </c>
      <c r="E139" s="24"/>
      <c r="F139" s="24"/>
    </row>
    <row r="140" spans="1:6" x14ac:dyDescent="0.45">
      <c r="A140" s="20" t="s">
        <v>172</v>
      </c>
      <c r="B140" s="19">
        <f>D130</f>
        <v>184500</v>
      </c>
      <c r="C140" s="19">
        <f>C139+B140</f>
        <v>388100</v>
      </c>
      <c r="D140" s="23" t="s">
        <v>173</v>
      </c>
      <c r="E140" s="24"/>
      <c r="F140" s="24"/>
    </row>
    <row r="142" spans="1:6" ht="40.049999999999997" customHeight="1" x14ac:dyDescent="0.45">
      <c r="A142" s="21" t="s">
        <v>174</v>
      </c>
      <c r="B142" s="22"/>
      <c r="C142" s="22"/>
      <c r="D142" s="22"/>
      <c r="E142" s="22"/>
      <c r="F142" s="22"/>
    </row>
    <row r="146" spans="1:6" ht="26" customHeight="1" x14ac:dyDescent="0.45">
      <c r="A146" s="25" t="s">
        <v>175</v>
      </c>
      <c r="B146" s="22"/>
      <c r="C146" s="22"/>
      <c r="D146" s="22"/>
      <c r="E146" s="22"/>
      <c r="F146" s="22"/>
    </row>
    <row r="148" spans="1:6" ht="22.05" customHeight="1" x14ac:dyDescent="0.45">
      <c r="A148" s="26" t="s">
        <v>176</v>
      </c>
      <c r="B148" s="22"/>
      <c r="C148" s="22"/>
      <c r="D148" s="22"/>
      <c r="E148" s="22"/>
      <c r="F148" s="22"/>
    </row>
    <row r="149" spans="1:6" x14ac:dyDescent="0.45">
      <c r="A149" s="21" t="s">
        <v>177</v>
      </c>
      <c r="B149" s="22"/>
      <c r="C149" s="22"/>
      <c r="D149" s="22"/>
      <c r="E149" s="22"/>
      <c r="F149" s="22"/>
    </row>
    <row r="150" spans="1:6" ht="20" customHeight="1" x14ac:dyDescent="0.45">
      <c r="A150" s="1" t="s">
        <v>178</v>
      </c>
      <c r="B150" s="1" t="s">
        <v>179</v>
      </c>
      <c r="C150" s="1" t="s">
        <v>180</v>
      </c>
      <c r="D150" s="1" t="s">
        <v>181</v>
      </c>
      <c r="E150" s="1" t="s">
        <v>182</v>
      </c>
      <c r="F150" s="1" t="s">
        <v>183</v>
      </c>
    </row>
    <row r="151" spans="1:6" x14ac:dyDescent="0.45">
      <c r="A151" s="3">
        <v>50</v>
      </c>
      <c r="B151" s="19">
        <f t="shared" ref="B151:B156" si="0">A151*$B$20</f>
        <v>5000000</v>
      </c>
      <c r="C151" s="9">
        <f t="shared" ref="C151:C156" si="1">$B151*0.0008</f>
        <v>4000</v>
      </c>
      <c r="D151" s="9">
        <f t="shared" ref="D151:D156" si="2">$B151*0.0012</f>
        <v>5999.9999999999991</v>
      </c>
      <c r="E151" s="9">
        <f t="shared" ref="E151:E156" si="3">$B151*0.0015</f>
        <v>7500</v>
      </c>
      <c r="F151" s="9">
        <f t="shared" ref="F151:F156" si="4">$B151*0.002</f>
        <v>10000</v>
      </c>
    </row>
    <row r="152" spans="1:6" x14ac:dyDescent="0.45">
      <c r="A152" s="3">
        <v>100</v>
      </c>
      <c r="B152" s="19">
        <f t="shared" si="0"/>
        <v>10000000</v>
      </c>
      <c r="C152" s="9">
        <f t="shared" si="1"/>
        <v>8000</v>
      </c>
      <c r="D152" s="9">
        <f t="shared" si="2"/>
        <v>11999.999999999998</v>
      </c>
      <c r="E152" s="9">
        <f t="shared" si="3"/>
        <v>15000</v>
      </c>
      <c r="F152" s="9">
        <f t="shared" si="4"/>
        <v>20000</v>
      </c>
    </row>
    <row r="153" spans="1:6" x14ac:dyDescent="0.45">
      <c r="A153" s="3">
        <v>200</v>
      </c>
      <c r="B153" s="19">
        <f t="shared" si="0"/>
        <v>20000000</v>
      </c>
      <c r="C153" s="9">
        <f t="shared" si="1"/>
        <v>16000</v>
      </c>
      <c r="D153" s="9">
        <f t="shared" si="2"/>
        <v>23999.999999999996</v>
      </c>
      <c r="E153" s="9">
        <f t="shared" si="3"/>
        <v>30000</v>
      </c>
      <c r="F153" s="9">
        <f t="shared" si="4"/>
        <v>40000</v>
      </c>
    </row>
    <row r="154" spans="1:6" x14ac:dyDescent="0.45">
      <c r="A154" s="3">
        <v>300</v>
      </c>
      <c r="B154" s="19">
        <f t="shared" si="0"/>
        <v>30000000</v>
      </c>
      <c r="C154" s="9">
        <f t="shared" si="1"/>
        <v>24000</v>
      </c>
      <c r="D154" s="9">
        <f t="shared" si="2"/>
        <v>36000</v>
      </c>
      <c r="E154" s="9">
        <f t="shared" si="3"/>
        <v>45000</v>
      </c>
      <c r="F154" s="9">
        <f t="shared" si="4"/>
        <v>60000</v>
      </c>
    </row>
    <row r="155" spans="1:6" x14ac:dyDescent="0.45">
      <c r="A155" s="3">
        <v>500</v>
      </c>
      <c r="B155" s="19">
        <f t="shared" si="0"/>
        <v>50000000</v>
      </c>
      <c r="C155" s="9">
        <f t="shared" si="1"/>
        <v>40000</v>
      </c>
      <c r="D155" s="9">
        <f t="shared" si="2"/>
        <v>59999.999999999993</v>
      </c>
      <c r="E155" s="9">
        <f t="shared" si="3"/>
        <v>75000</v>
      </c>
      <c r="F155" s="9">
        <f t="shared" si="4"/>
        <v>100000</v>
      </c>
    </row>
    <row r="156" spans="1:6" x14ac:dyDescent="0.45">
      <c r="A156" s="3">
        <v>1000</v>
      </c>
      <c r="B156" s="19">
        <f t="shared" si="0"/>
        <v>100000000</v>
      </c>
      <c r="C156" s="9">
        <f t="shared" si="1"/>
        <v>80000</v>
      </c>
      <c r="D156" s="9">
        <f t="shared" si="2"/>
        <v>119999.99999999999</v>
      </c>
      <c r="E156" s="9">
        <f t="shared" si="3"/>
        <v>150000</v>
      </c>
      <c r="F156" s="9">
        <f t="shared" si="4"/>
        <v>200000</v>
      </c>
    </row>
    <row r="158" spans="1:6" ht="40.049999999999997" customHeight="1" x14ac:dyDescent="0.45">
      <c r="A158" s="21" t="s">
        <v>184</v>
      </c>
      <c r="B158" s="22"/>
      <c r="C158" s="22"/>
      <c r="D158" s="22"/>
      <c r="E158" s="22"/>
      <c r="F158" s="22"/>
    </row>
    <row r="161" spans="1:6" ht="22.05" customHeight="1" x14ac:dyDescent="0.45">
      <c r="A161" s="26" t="s">
        <v>185</v>
      </c>
      <c r="B161" s="22"/>
      <c r="C161" s="22"/>
      <c r="D161" s="22"/>
      <c r="E161" s="22"/>
      <c r="F161" s="22"/>
    </row>
    <row r="162" spans="1:6" ht="20" customHeight="1" x14ac:dyDescent="0.45">
      <c r="A162" s="1" t="s">
        <v>128</v>
      </c>
      <c r="B162" s="1" t="s">
        <v>186</v>
      </c>
      <c r="C162" s="1" t="s">
        <v>187</v>
      </c>
      <c r="D162" s="1" t="s">
        <v>188</v>
      </c>
      <c r="E162" s="1" t="s">
        <v>189</v>
      </c>
    </row>
    <row r="163" spans="1:6" x14ac:dyDescent="0.45">
      <c r="A163" s="3">
        <v>2</v>
      </c>
      <c r="B163" s="9">
        <f>$A163*10000</f>
        <v>20000</v>
      </c>
      <c r="C163" s="9">
        <f>$A163*15000</f>
        <v>30000</v>
      </c>
      <c r="D163" s="9">
        <f>$A163*25000</f>
        <v>50000</v>
      </c>
      <c r="E163" s="9">
        <f>$A163*35000</f>
        <v>70000</v>
      </c>
    </row>
    <row r="164" spans="1:6" x14ac:dyDescent="0.45">
      <c r="A164" s="3">
        <v>3</v>
      </c>
      <c r="B164" s="9">
        <f>$A164*10000</f>
        <v>30000</v>
      </c>
      <c r="C164" s="9">
        <f>$A164*15000</f>
        <v>45000</v>
      </c>
      <c r="D164" s="9">
        <f>$A164*25000</f>
        <v>75000</v>
      </c>
      <c r="E164" s="9">
        <f>$A164*35000</f>
        <v>105000</v>
      </c>
    </row>
    <row r="165" spans="1:6" x14ac:dyDescent="0.45">
      <c r="A165" s="3">
        <v>5</v>
      </c>
      <c r="B165" s="9">
        <f>$A165*10000</f>
        <v>50000</v>
      </c>
      <c r="C165" s="9">
        <f>$A165*15000</f>
        <v>75000</v>
      </c>
      <c r="D165" s="9">
        <f>$A165*25000</f>
        <v>125000</v>
      </c>
      <c r="E165" s="9">
        <f>$A165*35000</f>
        <v>175000</v>
      </c>
    </row>
    <row r="166" spans="1:6" x14ac:dyDescent="0.45">
      <c r="A166" s="3">
        <v>7</v>
      </c>
      <c r="B166" s="9">
        <f>$A166*10000</f>
        <v>70000</v>
      </c>
      <c r="C166" s="9">
        <f>$A166*15000</f>
        <v>105000</v>
      </c>
      <c r="D166" s="9">
        <f>$A166*25000</f>
        <v>175000</v>
      </c>
      <c r="E166" s="9">
        <f>$A166*35000</f>
        <v>245000</v>
      </c>
    </row>
    <row r="167" spans="1:6" x14ac:dyDescent="0.45">
      <c r="A167" s="3">
        <v>10</v>
      </c>
      <c r="B167" s="9">
        <f>$A167*10000</f>
        <v>100000</v>
      </c>
      <c r="C167" s="9">
        <f>$A167*15000</f>
        <v>150000</v>
      </c>
      <c r="D167" s="9">
        <f>$A167*25000</f>
        <v>250000</v>
      </c>
      <c r="E167" s="9">
        <f>$A167*35000</f>
        <v>350000</v>
      </c>
    </row>
    <row r="169" spans="1:6" ht="40.049999999999997" customHeight="1" x14ac:dyDescent="0.45">
      <c r="A169" s="21" t="s">
        <v>190</v>
      </c>
      <c r="B169" s="22"/>
      <c r="C169" s="22"/>
      <c r="D169" s="22"/>
      <c r="E169" s="22"/>
      <c r="F169" s="22"/>
    </row>
    <row r="172" spans="1:6" ht="22.05" customHeight="1" x14ac:dyDescent="0.45">
      <c r="A172" s="26" t="s">
        <v>191</v>
      </c>
      <c r="B172" s="22"/>
      <c r="C172" s="22"/>
      <c r="D172" s="22"/>
      <c r="E172" s="22"/>
      <c r="F172" s="22"/>
    </row>
    <row r="173" spans="1:6" x14ac:dyDescent="0.45">
      <c r="A173" s="21" t="s">
        <v>192</v>
      </c>
      <c r="B173" s="22"/>
      <c r="C173" s="22"/>
      <c r="D173" s="22"/>
      <c r="E173" s="22"/>
      <c r="F173" s="22"/>
    </row>
    <row r="174" spans="1:6" ht="20" customHeight="1" x14ac:dyDescent="0.45">
      <c r="A174" s="1" t="s">
        <v>193</v>
      </c>
      <c r="B174" s="1" t="s">
        <v>194</v>
      </c>
      <c r="C174" s="1" t="s">
        <v>195</v>
      </c>
      <c r="D174" s="1" t="s">
        <v>196</v>
      </c>
      <c r="E174" s="1" t="s">
        <v>197</v>
      </c>
    </row>
    <row r="175" spans="1:6" x14ac:dyDescent="0.45">
      <c r="A175" s="2" t="s">
        <v>198</v>
      </c>
      <c r="B175" s="9">
        <f>(50*$B$20*$B$14)+(2*15000)</f>
        <v>36000</v>
      </c>
      <c r="C175" s="9">
        <f>(50*$B$20*$B$14)+(3*20000)</f>
        <v>66000</v>
      </c>
      <c r="D175" s="9">
        <f>(50*$B$20*$B$14)+(5*25000)</f>
        <v>131000</v>
      </c>
      <c r="E175" s="9">
        <f>(50*$B$20*$B$14)+(7*30000)</f>
        <v>216000</v>
      </c>
    </row>
    <row r="176" spans="1:6" x14ac:dyDescent="0.45">
      <c r="A176" s="2" t="s">
        <v>199</v>
      </c>
      <c r="B176" s="9">
        <f>(100*$B$20*$B$14)+(2*15000)</f>
        <v>42000</v>
      </c>
      <c r="C176" s="9">
        <f>(100*$B$20*$B$14)+(3*20000)</f>
        <v>72000</v>
      </c>
      <c r="D176" s="9">
        <f>(100*$B$20*$B$14)+(5*25000)</f>
        <v>137000</v>
      </c>
      <c r="E176" s="9">
        <f>(100*$B$20*$B$14)+(7*30000)</f>
        <v>222000</v>
      </c>
    </row>
    <row r="177" spans="1:6" x14ac:dyDescent="0.45">
      <c r="A177" s="2" t="s">
        <v>200</v>
      </c>
      <c r="B177" s="9">
        <f>(200*$B$20*$B$14)+(2*15000)</f>
        <v>54000</v>
      </c>
      <c r="C177" s="9">
        <f>(200*$B$20*$B$14)+(3*20000)</f>
        <v>84000</v>
      </c>
      <c r="D177" s="9">
        <f>(200*$B$20*$B$14)+(5*25000)</f>
        <v>149000</v>
      </c>
      <c r="E177" s="9">
        <f>(200*$B$20*$B$14)+(7*30000)</f>
        <v>234000</v>
      </c>
    </row>
    <row r="178" spans="1:6" x14ac:dyDescent="0.45">
      <c r="A178" s="2" t="s">
        <v>201</v>
      </c>
      <c r="B178" s="9">
        <f>(500*$B$20*$B$14)+(2*15000)</f>
        <v>90000</v>
      </c>
      <c r="C178" s="9">
        <f>(500*$B$20*$B$14)+(3*20000)</f>
        <v>120000</v>
      </c>
      <c r="D178" s="9">
        <f>(500*$B$20*$B$14)+(5*25000)</f>
        <v>185000</v>
      </c>
      <c r="E178" s="9">
        <f>(500*$B$20*$B$14)+(7*30000)</f>
        <v>270000</v>
      </c>
    </row>
    <row r="179" spans="1:6" x14ac:dyDescent="0.45">
      <c r="A179" s="2" t="s">
        <v>202</v>
      </c>
      <c r="B179" s="9">
        <f>(1000*$B$20*$B$14)+(2*15000)</f>
        <v>150000</v>
      </c>
      <c r="C179" s="9">
        <f>(1000*$B$20*$B$14)+(3*20000)</f>
        <v>180000</v>
      </c>
      <c r="D179" s="9">
        <f>(1000*$B$20*$B$14)+(5*25000)</f>
        <v>245000</v>
      </c>
      <c r="E179" s="9">
        <f>(1000*$B$20*$B$14)+(7*30000)</f>
        <v>330000</v>
      </c>
    </row>
    <row r="181" spans="1:6" ht="40.049999999999997" customHeight="1" x14ac:dyDescent="0.45">
      <c r="A181" s="21" t="s">
        <v>203</v>
      </c>
      <c r="B181" s="22"/>
      <c r="C181" s="22"/>
      <c r="D181" s="22"/>
      <c r="E181" s="22"/>
      <c r="F181" s="22"/>
    </row>
    <row r="184" spans="1:6" ht="22.05" customHeight="1" x14ac:dyDescent="0.45">
      <c r="A184" s="26" t="s">
        <v>204</v>
      </c>
      <c r="B184" s="22"/>
      <c r="C184" s="22"/>
      <c r="D184" s="22"/>
      <c r="E184" s="22"/>
      <c r="F184" s="22"/>
    </row>
    <row r="185" spans="1:6" x14ac:dyDescent="0.45">
      <c r="A185" s="21" t="s">
        <v>205</v>
      </c>
      <c r="B185" s="22"/>
      <c r="C185" s="22"/>
      <c r="D185" s="22"/>
      <c r="E185" s="22"/>
      <c r="F185" s="22"/>
    </row>
    <row r="186" spans="1:6" ht="20" customHeight="1" x14ac:dyDescent="0.45">
      <c r="A186" s="1" t="s">
        <v>206</v>
      </c>
      <c r="B186" s="1" t="s">
        <v>207</v>
      </c>
      <c r="C186" s="1" t="s">
        <v>208</v>
      </c>
      <c r="D186" s="28" t="s">
        <v>209</v>
      </c>
      <c r="E186" s="35"/>
      <c r="F186" s="29"/>
    </row>
    <row r="187" spans="1:6" ht="36" customHeight="1" x14ac:dyDescent="0.45">
      <c r="A187" s="4" t="s">
        <v>210</v>
      </c>
      <c r="B187" s="4" t="s">
        <v>211</v>
      </c>
      <c r="C187" s="4" t="s">
        <v>212</v>
      </c>
      <c r="D187" s="23" t="s">
        <v>213</v>
      </c>
      <c r="E187" s="24"/>
      <c r="F187" s="24"/>
    </row>
    <row r="188" spans="1:6" ht="36" customHeight="1" x14ac:dyDescent="0.45">
      <c r="A188" s="4" t="s">
        <v>214</v>
      </c>
      <c r="B188" s="4" t="s">
        <v>215</v>
      </c>
      <c r="C188" s="4" t="s">
        <v>216</v>
      </c>
      <c r="D188" s="23" t="s">
        <v>217</v>
      </c>
      <c r="E188" s="24"/>
      <c r="F188" s="24"/>
    </row>
    <row r="189" spans="1:6" ht="36" customHeight="1" x14ac:dyDescent="0.45">
      <c r="A189" s="4" t="s">
        <v>218</v>
      </c>
      <c r="B189" s="4" t="s">
        <v>219</v>
      </c>
      <c r="C189" s="4" t="s">
        <v>220</v>
      </c>
      <c r="D189" s="23" t="s">
        <v>221</v>
      </c>
      <c r="E189" s="24"/>
      <c r="F189" s="24"/>
    </row>
    <row r="192" spans="1:6" ht="40.049999999999997" customHeight="1" x14ac:dyDescent="0.45">
      <c r="A192" s="21" t="s">
        <v>222</v>
      </c>
      <c r="B192" s="22"/>
      <c r="C192" s="22"/>
      <c r="D192" s="22"/>
      <c r="E192" s="22"/>
      <c r="F192" s="22"/>
    </row>
  </sheetData>
  <mergeCells count="100">
    <mergeCell ref="D189:F189"/>
    <mergeCell ref="E62:F62"/>
    <mergeCell ref="A133:F133"/>
    <mergeCell ref="A158:F158"/>
    <mergeCell ref="D75:F75"/>
    <mergeCell ref="A161:F161"/>
    <mergeCell ref="D186:F186"/>
    <mergeCell ref="A172:F172"/>
    <mergeCell ref="A99:F99"/>
    <mergeCell ref="A149:F149"/>
    <mergeCell ref="D188:F188"/>
    <mergeCell ref="A142:F142"/>
    <mergeCell ref="A169:F169"/>
    <mergeCell ref="A136:F136"/>
    <mergeCell ref="A181:F181"/>
    <mergeCell ref="C32:F32"/>
    <mergeCell ref="C37:F37"/>
    <mergeCell ref="A55:F55"/>
    <mergeCell ref="A86:F86"/>
    <mergeCell ref="E64:F64"/>
    <mergeCell ref="E65:F65"/>
    <mergeCell ref="A82:F82"/>
    <mergeCell ref="D80:F80"/>
    <mergeCell ref="E67:F67"/>
    <mergeCell ref="A71:F71"/>
    <mergeCell ref="C34:F34"/>
    <mergeCell ref="E69:F69"/>
    <mergeCell ref="D76:F76"/>
    <mergeCell ref="C13:F13"/>
    <mergeCell ref="E63:F63"/>
    <mergeCell ref="C6:F6"/>
    <mergeCell ref="C15:F15"/>
    <mergeCell ref="C24:F24"/>
    <mergeCell ref="A44:F44"/>
    <mergeCell ref="C26:F26"/>
    <mergeCell ref="E49:F49"/>
    <mergeCell ref="C10:F10"/>
    <mergeCell ref="C27:F27"/>
    <mergeCell ref="C36:F36"/>
    <mergeCell ref="C17:F17"/>
    <mergeCell ref="E48:F48"/>
    <mergeCell ref="C19:F19"/>
    <mergeCell ref="C28:F28"/>
    <mergeCell ref="C18:F18"/>
    <mergeCell ref="C20:F20"/>
    <mergeCell ref="A2:F2"/>
    <mergeCell ref="A42:F42"/>
    <mergeCell ref="A126:F126"/>
    <mergeCell ref="C30:F30"/>
    <mergeCell ref="A22:F22"/>
    <mergeCell ref="C5:F5"/>
    <mergeCell ref="C14:F14"/>
    <mergeCell ref="A112:F112"/>
    <mergeCell ref="A88:F88"/>
    <mergeCell ref="E66:F66"/>
    <mergeCell ref="E58:F58"/>
    <mergeCell ref="E50:F50"/>
    <mergeCell ref="C8:F8"/>
    <mergeCell ref="E68:F68"/>
    <mergeCell ref="A74:F74"/>
    <mergeCell ref="E61:F61"/>
    <mergeCell ref="D138:F138"/>
    <mergeCell ref="A39:F39"/>
    <mergeCell ref="A109:F109"/>
    <mergeCell ref="E59:F59"/>
    <mergeCell ref="E46:F46"/>
    <mergeCell ref="A102:F102"/>
    <mergeCell ref="D78:F78"/>
    <mergeCell ref="D187:F187"/>
    <mergeCell ref="E57:F57"/>
    <mergeCell ref="C31:F31"/>
    <mergeCell ref="A1:F1"/>
    <mergeCell ref="C12:F12"/>
    <mergeCell ref="D140:F140"/>
    <mergeCell ref="E56:F56"/>
    <mergeCell ref="D77:F77"/>
    <mergeCell ref="C23:F23"/>
    <mergeCell ref="C7:F7"/>
    <mergeCell ref="C11:F11"/>
    <mergeCell ref="D139:F139"/>
    <mergeCell ref="E47:F47"/>
    <mergeCell ref="D137:F137"/>
    <mergeCell ref="A173:F173"/>
    <mergeCell ref="C29:F29"/>
    <mergeCell ref="A192:F192"/>
    <mergeCell ref="A185:F185"/>
    <mergeCell ref="C33:F33"/>
    <mergeCell ref="A4:F4"/>
    <mergeCell ref="E60:F60"/>
    <mergeCell ref="A184:F184"/>
    <mergeCell ref="A52:F52"/>
    <mergeCell ref="C35:F35"/>
    <mergeCell ref="D79:F79"/>
    <mergeCell ref="E45:F45"/>
    <mergeCell ref="C16:F16"/>
    <mergeCell ref="C25:F25"/>
    <mergeCell ref="A148:F148"/>
    <mergeCell ref="C9:F9"/>
    <mergeCell ref="A123:F123"/>
    <mergeCell ref="A146:F14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Appendix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Thinh Ngo</cp:lastModifiedBy>
  <dcterms:created xsi:type="dcterms:W3CDTF">2026-05-20T13:27:44Z</dcterms:created>
  <dcterms:modified xsi:type="dcterms:W3CDTF">2026-05-20T13:58:54Z</dcterms:modified>
</cp:coreProperties>
</file>